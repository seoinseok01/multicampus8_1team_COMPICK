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2594a148e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가 URL 명세" sheetId="1" r:id="R307e1d042aa2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5546F"/>
      <x:name val="Carlito"/>
    </x:font>
    <x:font>
      <x:b/>
      <x:sz val="11"/>
      <x:color rgb="FF24445F"/>
      <x:name val="Carlito"/>
    </x:font>
    <x:font>
      <x:b/>
      <x:sz val="11"/>
      <x:color rgb="FFFFFFFF"/>
      <x:name val="Carlito"/>
    </x:font>
    <x:font>
      <x:sz val="9"/>
      <x:color rgb="FF24445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1F6FA"/>
      </x:patternFill>
    </x:fill>
    <x:fill>
      <x:patternFill patternType="solid">
        <x:fgColor rgb="FF156082"/>
      </x:patternFill>
    </x:fill>
    <x:fill>
      <x:patternFill patternType="solid">
        <x:fgColor rgb="FFBFE8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9DC3D5"/>
      </x:left>
      <x:right style="thin">
        <x:color rgb="FF9DC3D5"/>
      </x:right>
      <x:top style="thin">
        <x:color rgb="FF9DC3D5"/>
      </x:top>
      <x:bottom style="thin">
        <x:color rgb="FF9DC3D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7ae56a23c4b0f" /><Relationship Type="http://schemas.openxmlformats.org/officeDocument/2006/relationships/theme" Target="/xl/theme/theme1.xml" Id="R267d46f2108d4e60" /><Relationship Type="http://schemas.openxmlformats.org/officeDocument/2006/relationships/sharedStrings" Target="/xl/sharedStrings.xml" Id="Raa96aeed00fc49a5" /><Relationship Type="http://schemas.openxmlformats.org/officeDocument/2006/relationships/worksheet" Target="/xl/worksheets/sheet1.xml" Id="R307e1d042aa24739" /></Relationships>
</file>

<file path=xl/tables/table1.xml><?xml version="1.0" encoding="utf-8"?>
<x:table xmlns:x="http://schemas.openxmlformats.org/spreadsheetml/2006/main" id="1" name="AdditionalUrlSpecTable" displayName="AdditionalUrlSpecTable" ref="A5:P23" headerRowCount="1" totalsRowCount="0" totalsRowShown="0">
  <x:tableColumns count="16">
    <x:tableColumn id="1" name="API ID"/>
    <x:tableColumn id="2" name="업무 영역"/>
    <x:tableColumn id="3" name="관련 화면 ID"/>
    <x:tableColumn id="4" name="기능명"/>
    <x:tableColumn id="5" name="구분"/>
    <x:tableColumn id="6" name="Method"/>
    <x:tableColumn id="7" name="URL"/>
    <x:tableColumn id="8" name="요청값"/>
    <x:tableColumn id="9" name="응답 방식"/>
    <x:tableColumn id="10" name="응답값 · View"/>
    <x:tableColumn id="11" name="인증"/>
    <x:tableColumn id="12" name="성공"/>
    <x:tableColumn id="13" name="실패"/>
    <x:tableColumn id="14" name="요구사항 ID"/>
    <x:tableColumn id="15" name="관련 데이터 · 외부"/>
    <x:tableColumn id="1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53ea7fcc8144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7" hidden="0" customWidth="1"/>
    <x:col min="4" max="4" width="27" hidden="0" customWidth="1"/>
    <x:col min="5" max="5" width="11" hidden="0" customWidth="1"/>
    <x:col min="6" max="6" width="11" hidden="0" customWidth="1"/>
    <x:col min="7" max="7" width="36" hidden="0" customWidth="1"/>
    <x:col min="8" max="8" width="42" hidden="0" customWidth="1"/>
    <x:col min="9" max="9" width="17" hidden="0" customWidth="1"/>
    <x:col min="10" max="10" width="36" hidden="0" customWidth="1"/>
    <x:col min="11" max="11" width="11" hidden="0" customWidth="1"/>
    <x:col min="12" max="12" width="10" hidden="0" customWidth="1"/>
    <x:col min="13" max="13" width="18" hidden="0" customWidth="1"/>
    <x:col min="14" max="14" width="18" hidden="0" customWidth="1"/>
    <x:col min="15" max="15" width="28" hidden="0" customWidth="1"/>
    <x:col min="16" max="16" width="42" hidden="0" customWidth="1"/>
  </x:cols>
  <x:sheetData>
    <x:row r="1" ht="30" customHeight="1">
      <x:c r="A1" s="3" t="str">
        <x:v>COMPICK 추가 URL·API 명세서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6" t="str">
        <x:v>원본 명세에 없는 추가 구현 항목만 수록 · 기준일 2026-07-29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9" t="str">
        <x:v>전체 항목</x:v>
      </x:c>
      <x:c r="B3" s="9" t="n">
        <x:f>COUNTA(A6:A23)</x:f>
        <x:v>18</x:v>
      </x:c>
      <x:c r="C3" s="9" t="str">
        <x:v>PAGE</x:v>
      </x:c>
      <x:c r="D3" s="9" t="n">
        <x:f>COUNTIF(E6:E23,"PAGE")</x:f>
        <x:v>16</x:v>
      </x:c>
      <x:c r="E3" s="9" t="str">
        <x:v>API</x:v>
      </x:c>
      <x:c r="F3" s="9" t="n">
        <x:f>COUNTIF(E6:E23,"API")</x:f>
        <x:v>0</x:v>
      </x:c>
      <x:c r="G3" s="9" t="str">
        <x:v>SECURITY</x:v>
      </x:c>
      <x:c r="H3" s="9" t="n">
        <x:f>COUNTIF(E6:E23,"SECURITY")</x:f>
        <x:v>2</x:v>
      </x:c>
    </x:row>
    <x:row r="5" ht="28" customHeight="1">
      <x:c r="A5" s="20" t="str">
        <x:v>API ID</x:v>
      </x:c>
      <x:c r="B5" s="20" t="str">
        <x:v>업무 영역</x:v>
      </x:c>
      <x:c r="C5" s="20" t="str">
        <x:v>관련 화면 ID</x:v>
      </x:c>
      <x:c r="D5" s="20" t="str">
        <x:v>기능명</x:v>
      </x:c>
      <x:c r="E5" s="20" t="str">
        <x:v>구분</x:v>
      </x:c>
      <x:c r="F5" s="20" t="str">
        <x:v>Method</x:v>
      </x:c>
      <x:c r="G5" s="20" t="str">
        <x:v>URL</x:v>
      </x:c>
      <x:c r="H5" s="20" t="str">
        <x:v>요청값</x:v>
      </x:c>
      <x:c r="I5" s="20" t="str">
        <x:v>응답 방식</x:v>
      </x:c>
      <x:c r="J5" s="20" t="str">
        <x:v>응답값 · View</x:v>
      </x:c>
      <x:c r="K5" s="20" t="str">
        <x:v>인증</x:v>
      </x:c>
      <x:c r="L5" s="20" t="str">
        <x:v>성공</x:v>
      </x:c>
      <x:c r="M5" s="20" t="str">
        <x:v>실패</x:v>
      </x:c>
      <x:c r="N5" s="20" t="str">
        <x:v>요구사항 ID</x:v>
      </x:c>
      <x:c r="O5" s="20" t="str">
        <x:v>관련 데이터 · 외부</x:v>
      </x:c>
      <x:c r="P5" s="20" t="str">
        <x:v>비고</x:v>
      </x:c>
    </x:row>
    <x:row r="6" ht="42" customHeight="1">
      <x:c r="A6" s="21" t="str">
        <x:v>PAGE-COM-002</x:v>
      </x:c>
      <x:c r="B6" s="21" t="str">
        <x:v>공통</x:v>
      </x:c>
      <x:c r="C6" s="21" t="str">
        <x:v>JOIN-01</x:v>
      </x:c>
      <x:c r="D6" s="21" t="str">
        <x:v>개인정보 처리방침 조회</x:v>
      </x:c>
      <x:c r="E6" s="21" t="str">
        <x:v>PAGE</x:v>
      </x:c>
      <x:c r="F6" s="21" t="str">
        <x:v>GET</x:v>
      </x:c>
      <x:c r="G6" s="21" t="str">
        <x:v>/privacy-policy</x:v>
      </x:c>
      <x:c r="H6" s="21" t="str">
        <x:v>없음</x:v>
      </x:c>
      <x:c r="I6" s="21" t="str">
        <x:v>Thymeleaf View</x:v>
      </x:c>
      <x:c r="J6" s="21" t="str">
        <x:v>privacy-policy</x:v>
      </x:c>
      <x:c r="K6" s="21" t="str">
        <x:v>전체</x:v>
      </x:c>
      <x:c r="L6" s="21" t="n">
        <x:v>200</x:v>
      </x:c>
      <x:c r="M6" s="21" t="n">
        <x:v>500</x:v>
      </x:c>
      <x:c r="N6" s="21" t="str">
        <x:v>REQ-MEM-001</x:v>
      </x:c>
      <x:c r="O6" s="21" t="str">
        <x:v>개인정보 처리방침</x:v>
      </x:c>
      <x:c r="P6" s="21" t="str">
        <x:v>회원가입 화면에서 팝업으로 표시</x:v>
      </x:c>
    </x:row>
    <x:row r="7" ht="42" customHeight="1">
      <x:c r="A7" s="22" t="str">
        <x:v>SEC-AUTH-003</x:v>
      </x:c>
      <x:c r="B7" s="22" t="str">
        <x:v>회원</x:v>
      </x:c>
      <x:c r="C7" s="22" t="str">
        <x:v>LOGIN-01</x:v>
      </x:c>
      <x:c r="D7" s="22" t="str">
        <x:v>Google 로그인 시작</x:v>
      </x:c>
      <x:c r="E7" s="22" t="str">
        <x:v>SECURITY</x:v>
      </x:c>
      <x:c r="F7" s="22" t="str">
        <x:v>GET</x:v>
      </x:c>
      <x:c r="G7" s="22" t="str">
        <x:v>/oauth2/authorization/google</x:v>
      </x:c>
      <x:c r="H7" s="22" t="str">
        <x:v>없음</x:v>
      </x:c>
      <x:c r="I7" s="22" t="str">
        <x:v>Redirect</x:v>
      </x:c>
      <x:c r="J7" s="22" t="str">
        <x:v>Google OAuth 동의 화면</x:v>
      </x:c>
      <x:c r="K7" s="22" t="str">
        <x:v>비회원</x:v>
      </x:c>
      <x:c r="L7" s="22" t="n">
        <x:v>302</x:v>
      </x:c>
      <x:c r="M7" s="22" t="str">
        <x:v>400, 500</x:v>
      </x:c>
      <x:c r="N7" s="22" t="str">
        <x:v>REQ-MEM-002</x:v>
      </x:c>
      <x:c r="O7" s="22" t="str">
        <x:v>Google OAuth 2.0</x:v>
      </x:c>
      <x:c r="P7" s="22" t="str">
        <x:v>환경변수 설정 시 활성화</x:v>
      </x:c>
    </x:row>
    <x:row r="8" ht="42" customHeight="1">
      <x:c r="A8" s="21" t="str">
        <x:v>SEC-AUTH-004</x:v>
      </x:c>
      <x:c r="B8" s="21" t="str">
        <x:v>회원</x:v>
      </x:c>
      <x:c r="C8" s="21" t="str">
        <x:v>LOGIN-01</x:v>
      </x:c>
      <x:c r="D8" s="21" t="str">
        <x:v>Google OAuth 콜백</x:v>
      </x:c>
      <x:c r="E8" s="21" t="str">
        <x:v>SECURITY</x:v>
      </x:c>
      <x:c r="F8" s="21" t="str">
        <x:v>GET</x:v>
      </x:c>
      <x:c r="G8" s="21" t="str">
        <x:v>/login/oauth2/code/google</x:v>
      </x:c>
      <x:c r="H8" s="21" t="str">
        <x:v>code, state</x:v>
      </x:c>
      <x:c r="I8" s="21" t="str">
        <x:v>Redirect</x:v>
      </x:c>
      <x:c r="J8" s="21" t="str">
        <x:v>신규: /members/social-password / 기존: /</x:v>
      </x:c>
      <x:c r="K8" s="21" t="str">
        <x:v>비회원</x:v>
      </x:c>
      <x:c r="L8" s="21" t="n">
        <x:v>302</x:v>
      </x:c>
      <x:c r="M8" s="21" t="str">
        <x:v>401, 500</x:v>
      </x:c>
      <x:c r="N8" s="21" t="str">
        <x:v>REQ-MEM-002</x:v>
      </x:c>
      <x:c r="O8" s="21" t="str">
        <x:v>Google OIDC, social_account</x:v>
      </x:c>
      <x:c r="P8" s="21" t="str">
        <x:v>email_verified 확인 후 계정 연결</x:v>
      </x:c>
    </x:row>
    <x:row r="9" ht="42" customHeight="1">
      <x:c r="A9" s="22" t="str">
        <x:v>PAGE-AUTH-004</x:v>
      </x:c>
      <x:c r="B9" s="22" t="str">
        <x:v>회원</x:v>
      </x:c>
      <x:c r="C9" s="22" t="str">
        <x:v>LOGIN-01</x:v>
      </x:c>
      <x:c r="D9" s="22" t="str">
        <x:v>Google 회원 비밀번호 설정 화면</x:v>
      </x:c>
      <x:c r="E9" s="22" t="str">
        <x:v>PAGE</x:v>
      </x:c>
      <x:c r="F9" s="22" t="str">
        <x:v>GET</x:v>
      </x:c>
      <x:c r="G9" s="22" t="str">
        <x:v>/members/social-password</x:v>
      </x:c>
      <x:c r="H9" s="22" t="str">
        <x:v>없음</x:v>
      </x:c>
      <x:c r="I9" s="22" t="str">
        <x:v>Thymeleaf View</x:v>
      </x:c>
      <x:c r="J9" s="22" t="str">
        <x:v>member/social-credentials</x:v>
      </x:c>
      <x:c r="K9" s="22" t="str">
        <x:v>회원</x:v>
      </x:c>
      <x:c r="L9" s="22" t="n">
        <x:v>200</x:v>
      </x:c>
      <x:c r="M9" s="22" t="str">
        <x:v>401, 500</x:v>
      </x:c>
      <x:c r="N9" s="22" t="str">
        <x:v>REQ-MEM-002</x:v>
      </x:c>
      <x:c r="O9" s="22" t="str">
        <x:v>members, social_account</x:v>
      </x:c>
      <x:c r="P9" s="22" t="str">
        <x:v>최초 Google 회원만 접근</x:v>
      </x:c>
    </x:row>
    <x:row r="10" ht="42" customHeight="1">
      <x:c r="A10" s="21" t="str">
        <x:v>PAGE-AUTH-005</x:v>
      </x:c>
      <x:c r="B10" s="21" t="str">
        <x:v>회원</x:v>
      </x:c>
      <x:c r="C10" s="21" t="str">
        <x:v>LOGIN-01</x:v>
      </x:c>
      <x:c r="D10" s="21" t="str">
        <x:v>Google 회원가입 완료 처리</x:v>
      </x:c>
      <x:c r="E10" s="21" t="str">
        <x:v>PAGE</x:v>
      </x:c>
      <x:c r="F10" s="21" t="str">
        <x:v>POST</x:v>
      </x:c>
      <x:c r="G10" s="21" t="str">
        <x:v>/members/social-password</x:v>
      </x:c>
      <x:c r="H10" s="21" t="str">
        <x:v>Form: password, passwordConfirm, termsAccepted</x:v>
      </x:c>
      <x:c r="I10" s="21" t="str">
        <x:v>Redirect</x:v>
      </x:c>
      <x:c r="J10" s="21" t="str">
        <x:v>redirect:/</x:v>
      </x:c>
      <x:c r="K10" s="21" t="str">
        <x:v>회원</x:v>
      </x:c>
      <x:c r="L10" s="21" t="n">
        <x:v>302</x:v>
      </x:c>
      <x:c r="M10" s="21" t="str">
        <x:v>400, 401, 500</x:v>
      </x:c>
      <x:c r="N10" s="21" t="str">
        <x:v>REQ-MEM-002</x:v>
      </x:c>
      <x:c r="O10" s="21" t="str">
        <x:v>members, social_account</x:v>
      </x:c>
      <x:c r="P10" s="21" t="str">
        <x:v>비밀번호·개인정보 동의 저장</x:v>
      </x:c>
    </x:row>
    <x:row r="11" ht="42" customHeight="1">
      <x:c r="A11" s="22" t="str">
        <x:v>PAGE-AUTH-006</x:v>
      </x:c>
      <x:c r="B11" s="22" t="str">
        <x:v>회원</x:v>
      </x:c>
      <x:c r="C11" s="22" t="str">
        <x:v>LOGIN-01</x:v>
      </x:c>
      <x:c r="D11" s="22" t="str">
        <x:v>아이디 찾기 화면</x:v>
      </x:c>
      <x:c r="E11" s="22" t="str">
        <x:v>PAGE</x:v>
      </x:c>
      <x:c r="F11" s="22" t="str">
        <x:v>GET</x:v>
      </x:c>
      <x:c r="G11" s="22" t="str">
        <x:v>/members/find-id</x:v>
      </x:c>
      <x:c r="H11" s="22" t="str">
        <x:v>없음</x:v>
      </x:c>
      <x:c r="I11" s="22" t="str">
        <x:v>Thymeleaf View</x:v>
      </x:c>
      <x:c r="J11" s="22" t="str">
        <x:v>member/find-id</x:v>
      </x:c>
      <x:c r="K11" s="22" t="str">
        <x:v>비회원</x:v>
      </x:c>
      <x:c r="L11" s="22" t="n">
        <x:v>200</x:v>
      </x:c>
      <x:c r="M11" s="22" t="n">
        <x:v>500</x:v>
      </x:c>
      <x:c r="N11" s="22" t="str">
        <x:v>REQ-MEM-004</x:v>
      </x:c>
      <x:c r="O11" s="22" t="str">
        <x:v>members, email_verification</x:v>
      </x:c>
      <x:c r="P11" s="22" t="str">
        <x:v>이메일 인증 기반</x:v>
      </x:c>
    </x:row>
    <x:row r="12" ht="42" customHeight="1">
      <x:c r="A12" s="21" t="str">
        <x:v>PAGE-AUTH-007</x:v>
      </x:c>
      <x:c r="B12" s="21" t="str">
        <x:v>회원</x:v>
      </x:c>
      <x:c r="C12" s="21" t="str">
        <x:v>LOGIN-01</x:v>
      </x:c>
      <x:c r="D12" s="21" t="str">
        <x:v>아이디 찾기 인증메일 요청</x:v>
      </x:c>
      <x:c r="E12" s="21" t="str">
        <x:v>PAGE</x:v>
      </x:c>
      <x:c r="F12" s="21" t="str">
        <x:v>POST</x:v>
      </x:c>
      <x:c r="G12" s="21" t="str">
        <x:v>/members/find-id/send</x:v>
      </x:c>
      <x:c r="H12" s="21" t="str">
        <x:v>Form: name, email</x:v>
      </x:c>
      <x:c r="I12" s="21" t="str">
        <x:v>Redirect</x:v>
      </x:c>
      <x:c r="J12" s="21" t="str">
        <x:v>redirect:/members/find-id</x:v>
      </x:c>
      <x:c r="K12" s="21" t="str">
        <x:v>비회원</x:v>
      </x:c>
      <x:c r="L12" s="21" t="n">
        <x:v>302</x:v>
      </x:c>
      <x:c r="M12" s="21" t="str">
        <x:v>400, 429, 500</x:v>
      </x:c>
      <x:c r="N12" s="21" t="str">
        <x:v>REQ-MEM-004</x:v>
      </x:c>
      <x:c r="O12" s="21" t="str">
        <x:v>members, email_verification, SMTP</x:v>
      </x:c>
      <x:c r="P12" s="21" t="str">
        <x:v>계정 존재 여부는 동일 문구로 응답</x:v>
      </x:c>
    </x:row>
    <x:row r="13" ht="42" customHeight="1">
      <x:c r="A13" s="22" t="str">
        <x:v>PAGE-AUTH-008</x:v>
      </x:c>
      <x:c r="B13" s="22" t="str">
        <x:v>회원</x:v>
      </x:c>
      <x:c r="C13" s="22" t="str">
        <x:v>LOGIN-01</x:v>
      </x:c>
      <x:c r="D13" s="22" t="str">
        <x:v>아이디 찾기 인증번호 확인</x:v>
      </x:c>
      <x:c r="E13" s="22" t="str">
        <x:v>PAGE</x:v>
      </x:c>
      <x:c r="F13" s="22" t="str">
        <x:v>POST</x:v>
      </x:c>
      <x:c r="G13" s="22" t="str">
        <x:v>/members/find-id/confirm</x:v>
      </x:c>
      <x:c r="H13" s="22" t="str">
        <x:v>Form: code</x:v>
      </x:c>
      <x:c r="I13" s="22" t="str">
        <x:v>Thymeleaf View</x:v>
      </x:c>
      <x:c r="J13" s="22" t="str">
        <x:v>member/find-id</x:v>
      </x:c>
      <x:c r="K13" s="22" t="str">
        <x:v>비회원</x:v>
      </x:c>
      <x:c r="L13" s="22" t="n">
        <x:v>200</x:v>
      </x:c>
      <x:c r="M13" s="22" t="str">
        <x:v>400, 500</x:v>
      </x:c>
      <x:c r="N13" s="22" t="str">
        <x:v>REQ-MEM-004</x:v>
      </x:c>
      <x:c r="O13" s="22" t="str">
        <x:v>email_verification</x:v>
      </x:c>
      <x:c r="P13" s="22" t="str">
        <x:v>마스킹된 아이디 표시</x:v>
      </x:c>
    </x:row>
    <x:row r="14" ht="42" customHeight="1">
      <x:c r="A14" s="21" t="str">
        <x:v>PAGE-AUTH-009</x:v>
      </x:c>
      <x:c r="B14" s="21" t="str">
        <x:v>회원</x:v>
      </x:c>
      <x:c r="C14" s="21" t="str">
        <x:v>LOGIN-01</x:v>
      </x:c>
      <x:c r="D14" s="21" t="str">
        <x:v>비밀번호 재설정 화면</x:v>
      </x:c>
      <x:c r="E14" s="21" t="str">
        <x:v>PAGE</x:v>
      </x:c>
      <x:c r="F14" s="21" t="str">
        <x:v>GET</x:v>
      </x:c>
      <x:c r="G14" s="21" t="str">
        <x:v>/members/password-reset</x:v>
      </x:c>
      <x:c r="H14" s="21" t="str">
        <x:v>없음</x:v>
      </x:c>
      <x:c r="I14" s="21" t="str">
        <x:v>Thymeleaf View</x:v>
      </x:c>
      <x:c r="J14" s="21" t="str">
        <x:v>member/password-reset</x:v>
      </x:c>
      <x:c r="K14" s="21" t="str">
        <x:v>비회원</x:v>
      </x:c>
      <x:c r="L14" s="21" t="n">
        <x:v>200</x:v>
      </x:c>
      <x:c r="M14" s="21" t="n">
        <x:v>500</x:v>
      </x:c>
      <x:c r="N14" s="21" t="str">
        <x:v>REQ-MEM-005</x:v>
      </x:c>
      <x:c r="O14" s="21" t="str">
        <x:v>members, email_verification</x:v>
      </x:c>
      <x:c r="P14" s="21" t="str">
        <x:v>아이디·이메일 인증</x:v>
      </x:c>
    </x:row>
    <x:row r="15" ht="42" customHeight="1">
      <x:c r="A15" s="22" t="str">
        <x:v>PAGE-AUTH-010</x:v>
      </x:c>
      <x:c r="B15" s="22" t="str">
        <x:v>회원</x:v>
      </x:c>
      <x:c r="C15" s="22" t="str">
        <x:v>LOGIN-01</x:v>
      </x:c>
      <x:c r="D15" s="22" t="str">
        <x:v>비밀번호 재설정 인증메일 요청</x:v>
      </x:c>
      <x:c r="E15" s="22" t="str">
        <x:v>PAGE</x:v>
      </x:c>
      <x:c r="F15" s="22" t="str">
        <x:v>POST</x:v>
      </x:c>
      <x:c r="G15" s="22" t="str">
        <x:v>/members/password-reset/send</x:v>
      </x:c>
      <x:c r="H15" s="22" t="str">
        <x:v>Form: loginId, email</x:v>
      </x:c>
      <x:c r="I15" s="22" t="str">
        <x:v>Redirect</x:v>
      </x:c>
      <x:c r="J15" s="22" t="str">
        <x:v>redirect:/members/password-reset</x:v>
      </x:c>
      <x:c r="K15" s="22" t="str">
        <x:v>비회원</x:v>
      </x:c>
      <x:c r="L15" s="22" t="n">
        <x:v>302</x:v>
      </x:c>
      <x:c r="M15" s="22" t="str">
        <x:v>400, 429, 500</x:v>
      </x:c>
      <x:c r="N15" s="22" t="str">
        <x:v>REQ-MEM-005</x:v>
      </x:c>
      <x:c r="O15" s="22" t="str">
        <x:v>members, email_verification, SMTP</x:v>
      </x:c>
      <x:c r="P15" s="22" t="str">
        <x:v>5분 유효 인증번호</x:v>
      </x:c>
    </x:row>
    <x:row r="16" ht="42" customHeight="1">
      <x:c r="A16" s="21" t="str">
        <x:v>PAGE-AUTH-011</x:v>
      </x:c>
      <x:c r="B16" s="21" t="str">
        <x:v>회원</x:v>
      </x:c>
      <x:c r="C16" s="21" t="str">
        <x:v>LOGIN-01</x:v>
      </x:c>
      <x:c r="D16" s="21" t="str">
        <x:v>비밀번호 재설정 처리</x:v>
      </x:c>
      <x:c r="E16" s="21" t="str">
        <x:v>PAGE</x:v>
      </x:c>
      <x:c r="F16" s="21" t="str">
        <x:v>POST</x:v>
      </x:c>
      <x:c r="G16" s="21" t="str">
        <x:v>/members/password-reset/confirm</x:v>
      </x:c>
      <x:c r="H16" s="21" t="str">
        <x:v>Form: code, newPassword, newPasswordConfirm</x:v>
      </x:c>
      <x:c r="I16" s="21" t="str">
        <x:v>Redirect</x:v>
      </x:c>
      <x:c r="J16" s="21" t="str">
        <x:v>redirect:/login</x:v>
      </x:c>
      <x:c r="K16" s="21" t="str">
        <x:v>비회원</x:v>
      </x:c>
      <x:c r="L16" s="21" t="n">
        <x:v>302</x:v>
      </x:c>
      <x:c r="M16" s="21" t="str">
        <x:v>400, 500</x:v>
      </x:c>
      <x:c r="N16" s="21" t="str">
        <x:v>REQ-MEM-005</x:v>
      </x:c>
      <x:c r="O16" s="21" t="str">
        <x:v>members, email_verification</x:v>
      </x:c>
      <x:c r="P16" s="21" t="str">
        <x:v>인증번호 1회 사용</x:v>
      </x:c>
    </x:row>
    <x:row r="17" ht="42" customHeight="1">
      <x:c r="A17" s="22" t="str">
        <x:v>PAGE-MYP-004</x:v>
      </x:c>
      <x:c r="B17" s="22" t="str">
        <x:v>마이페이지</x:v>
      </x:c>
      <x:c r="C17" s="22" t="str">
        <x:v>PROFILE-01</x:v>
      </x:c>
      <x:c r="D17" s="22" t="str">
        <x:v>비밀번호 변경 처리</x:v>
      </x:c>
      <x:c r="E17" s="22" t="str">
        <x:v>PAGE</x:v>
      </x:c>
      <x:c r="F17" s="22" t="str">
        <x:v>POST</x:v>
      </x:c>
      <x:c r="G17" s="22" t="str">
        <x:v>/mypage/password</x:v>
      </x:c>
      <x:c r="H17" s="22" t="str">
        <x:v>Form: currentPassword, newPassword, newPasswordConfirm</x:v>
      </x:c>
      <x:c r="I17" s="22" t="str">
        <x:v>Redirect</x:v>
      </x:c>
      <x:c r="J17" s="22" t="str">
        <x:v>redirect:/mypage/profile</x:v>
      </x:c>
      <x:c r="K17" s="22" t="str">
        <x:v>회원</x:v>
      </x:c>
      <x:c r="L17" s="22" t="n">
        <x:v>302</x:v>
      </x:c>
      <x:c r="M17" s="22" t="str">
        <x:v>400, 401, 500</x:v>
      </x:c>
      <x:c r="N17" s="22" t="str">
        <x:v>REQ-MEM-003</x:v>
      </x:c>
      <x:c r="O17" s="22" t="str">
        <x:v>members</x:v>
      </x:c>
      <x:c r="P17" s="22" t="str">
        <x:v>현재 비밀번호 재확인</x:v>
      </x:c>
    </x:row>
    <x:row r="18" ht="42" customHeight="1">
      <x:c r="A18" s="21" t="str">
        <x:v>PAGE-MYP-005</x:v>
      </x:c>
      <x:c r="B18" s="21" t="str">
        <x:v>마이페이지</x:v>
      </x:c>
      <x:c r="C18" s="21" t="str">
        <x:v>MYPAGE-01</x:v>
      </x:c>
      <x:c r="D18" s="21" t="str">
        <x:v>회원 탈퇴 처리</x:v>
      </x:c>
      <x:c r="E18" s="21" t="str">
        <x:v>PAGE</x:v>
      </x:c>
      <x:c r="F18" s="21" t="str">
        <x:v>POST</x:v>
      </x:c>
      <x:c r="G18" s="21" t="str">
        <x:v>/mypage/withdraw</x:v>
      </x:c>
      <x:c r="H18" s="21" t="str">
        <x:v>Form: password</x:v>
      </x:c>
      <x:c r="I18" s="21" t="str">
        <x:v>Redirect</x:v>
      </x:c>
      <x:c r="J18" s="21" t="str">
        <x:v>redirect:/login</x:v>
      </x:c>
      <x:c r="K18" s="21" t="str">
        <x:v>회원</x:v>
      </x:c>
      <x:c r="L18" s="21" t="n">
        <x:v>302</x:v>
      </x:c>
      <x:c r="M18" s="21" t="str">
        <x:v>400, 401, 500</x:v>
      </x:c>
      <x:c r="N18" s="21" t="str">
        <x:v>REQ-MEM-003</x:v>
      </x:c>
      <x:c r="O18" s="21" t="str">
        <x:v>members, social_account, Google</x:v>
      </x:c>
      <x:c r="P18" s="21" t="str">
        <x:v>상태 WITHDRAWN, 소셜 연결 삭제 후 Google 연결 관리 안내</x:v>
      </x:c>
    </x:row>
    <x:row r="19" ht="42" customHeight="1">
      <x:c r="A19" s="22" t="str">
        <x:v>PAGE-ADDR-002</x:v>
      </x:c>
      <x:c r="B19" s="22" t="str">
        <x:v>마이페이지</x:v>
      </x:c>
      <x:c r="C19" s="22" t="str">
        <x:v>ADDRESS-02</x:v>
      </x:c>
      <x:c r="D19" s="22" t="str">
        <x:v>배송지 등록 화면</x:v>
      </x:c>
      <x:c r="E19" s="22" t="str">
        <x:v>PAGE</x:v>
      </x:c>
      <x:c r="F19" s="22" t="str">
        <x:v>GET</x:v>
      </x:c>
      <x:c r="G19" s="22" t="str">
        <x:v>/mypage/addresses/new</x:v>
      </x:c>
      <x:c r="H19" s="22" t="str">
        <x:v>없음</x:v>
      </x:c>
      <x:c r="I19" s="22" t="str">
        <x:v>Thymeleaf View</x:v>
      </x:c>
      <x:c r="J19" s="22" t="str">
        <x:v>member/address-form</x:v>
      </x:c>
      <x:c r="K19" s="22" t="str">
        <x:v>회원</x:v>
      </x:c>
      <x:c r="L19" s="22" t="n">
        <x:v>200</x:v>
      </x:c>
      <x:c r="M19" s="22" t="str">
        <x:v>401, 500</x:v>
      </x:c>
      <x:c r="N19" s="22" t="str">
        <x:v>REQ-MEM-003</x:v>
      </x:c>
      <x:c r="O19" s="22" t="str">
        <x:v>addresses, Kakao 우편번호</x:v>
      </x:c>
      <x:c r="P19" s="22" t="str">
        <x:v>별도 페이지 방식</x:v>
      </x:c>
    </x:row>
    <x:row r="20" ht="42" customHeight="1">
      <x:c r="A20" s="21" t="str">
        <x:v>PAGE-ADDR-003</x:v>
      </x:c>
      <x:c r="B20" s="21" t="str">
        <x:v>마이페이지</x:v>
      </x:c>
      <x:c r="C20" s="21" t="str">
        <x:v>ADDRESS-02</x:v>
      </x:c>
      <x:c r="D20" s="21" t="str">
        <x:v>배송지 수정 화면</x:v>
      </x:c>
      <x:c r="E20" s="21" t="str">
        <x:v>PAGE</x:v>
      </x:c>
      <x:c r="F20" s="21" t="str">
        <x:v>GET</x:v>
      </x:c>
      <x:c r="G20" s="21" t="str">
        <x:v>/mypage/addresses/{addressId}/edit</x:v>
      </x:c>
      <x:c r="H20" s="21" t="str">
        <x:v>Path: addressId</x:v>
      </x:c>
      <x:c r="I20" s="21" t="str">
        <x:v>Thymeleaf View</x:v>
      </x:c>
      <x:c r="J20" s="21" t="str">
        <x:v>member/address-form</x:v>
      </x:c>
      <x:c r="K20" s="21" t="str">
        <x:v>회원</x:v>
      </x:c>
      <x:c r="L20" s="21" t="n">
        <x:v>200</x:v>
      </x:c>
      <x:c r="M20" s="21" t="str">
        <x:v>401, 404, 500</x:v>
      </x:c>
      <x:c r="N20" s="21" t="str">
        <x:v>REQ-MEM-003</x:v>
      </x:c>
      <x:c r="O20" s="21" t="str">
        <x:v>addresses</x:v>
      </x:c>
      <x:c r="P20" s="21" t="str">
        <x:v>소유권 확인</x:v>
      </x:c>
    </x:row>
    <x:row r="21" ht="42" customHeight="1">
      <x:c r="A21" s="22" t="str">
        <x:v>PAGE-ADDR-004</x:v>
      </x:c>
      <x:c r="B21" s="22" t="str">
        <x:v>마이페이지</x:v>
      </x:c>
      <x:c r="C21" s="22" t="str">
        <x:v>ADDRESS-02</x:v>
      </x:c>
      <x:c r="D21" s="22" t="str">
        <x:v>배송지 등록 Form 처리</x:v>
      </x:c>
      <x:c r="E21" s="22" t="str">
        <x:v>PAGE</x:v>
      </x:c>
      <x:c r="F21" s="22" t="str">
        <x:v>POST</x:v>
      </x:c>
      <x:c r="G21" s="22" t="str">
        <x:v>/mypage/addresses</x:v>
      </x:c>
      <x:c r="H21" s="22" t="str">
        <x:v>Form: 배송지 정보</x:v>
      </x:c>
      <x:c r="I21" s="22" t="str">
        <x:v>Redirect</x:v>
      </x:c>
      <x:c r="J21" s="22" t="str">
        <x:v>redirect:/mypage/addresses</x:v>
      </x:c>
      <x:c r="K21" s="22" t="str">
        <x:v>회원</x:v>
      </x:c>
      <x:c r="L21" s="22" t="n">
        <x:v>302</x:v>
      </x:c>
      <x:c r="M21" s="22" t="str">
        <x:v>400, 401, 500</x:v>
      </x:c>
      <x:c r="N21" s="22" t="str">
        <x:v>REQ-MEM-003</x:v>
      </x:c>
      <x:c r="O21" s="22" t="str">
        <x:v>addresses</x:v>
      </x:c>
      <x:c r="P21" s="22" t="str">
        <x:v>API-ADDR-001과 병행</x:v>
      </x:c>
    </x:row>
    <x:row r="22" ht="42" customHeight="1">
      <x:c r="A22" s="21" t="str">
        <x:v>PAGE-ADDR-005</x:v>
      </x:c>
      <x:c r="B22" s="21" t="str">
        <x:v>마이페이지</x:v>
      </x:c>
      <x:c r="C22" s="21" t="str">
        <x:v>ADDRESS-02</x:v>
      </x:c>
      <x:c r="D22" s="21" t="str">
        <x:v>배송지 수정 Form 처리</x:v>
      </x:c>
      <x:c r="E22" s="21" t="str">
        <x:v>PAGE</x:v>
      </x:c>
      <x:c r="F22" s="21" t="str">
        <x:v>POST</x:v>
      </x:c>
      <x:c r="G22" s="21" t="str">
        <x:v>/mypage/addresses/{addressId}</x:v>
      </x:c>
      <x:c r="H22" s="21" t="str">
        <x:v>Path: addressId / Form: 배송지 정보</x:v>
      </x:c>
      <x:c r="I22" s="21" t="str">
        <x:v>Redirect</x:v>
      </x:c>
      <x:c r="J22" s="21" t="str">
        <x:v>redirect:/mypage/addresses</x:v>
      </x:c>
      <x:c r="K22" s="21" t="str">
        <x:v>회원</x:v>
      </x:c>
      <x:c r="L22" s="21" t="n">
        <x:v>302</x:v>
      </x:c>
      <x:c r="M22" s="21" t="str">
        <x:v>400, 401, 404, 500</x:v>
      </x:c>
      <x:c r="N22" s="21" t="str">
        <x:v>REQ-MEM-003</x:v>
      </x:c>
      <x:c r="O22" s="21" t="str">
        <x:v>addresses</x:v>
      </x:c>
      <x:c r="P22" s="21" t="str">
        <x:v>API-ADDR-002와 병행</x:v>
      </x:c>
    </x:row>
    <x:row r="23" ht="42" customHeight="1">
      <x:c r="A23" s="22" t="str">
        <x:v>PAGE-ADDR-006</x:v>
      </x:c>
      <x:c r="B23" s="22" t="str">
        <x:v>마이페이지</x:v>
      </x:c>
      <x:c r="C23" s="22" t="str">
        <x:v>ADDRESS-01</x:v>
      </x:c>
      <x:c r="D23" s="22" t="str">
        <x:v>배송지 삭제 Form 처리</x:v>
      </x:c>
      <x:c r="E23" s="22" t="str">
        <x:v>PAGE</x:v>
      </x:c>
      <x:c r="F23" s="22" t="str">
        <x:v>POST</x:v>
      </x:c>
      <x:c r="G23" s="22" t="str">
        <x:v>/mypage/addresses/{addressId}/delete</x:v>
      </x:c>
      <x:c r="H23" s="22" t="str">
        <x:v>Path: addressId</x:v>
      </x:c>
      <x:c r="I23" s="22" t="str">
        <x:v>Redirect</x:v>
      </x:c>
      <x:c r="J23" s="22" t="str">
        <x:v>redirect:/mypage/addresses</x:v>
      </x:c>
      <x:c r="K23" s="22" t="str">
        <x:v>회원</x:v>
      </x:c>
      <x:c r="L23" s="22" t="n">
        <x:v>302</x:v>
      </x:c>
      <x:c r="M23" s="22" t="str">
        <x:v>401, 404, 500</x:v>
      </x:c>
      <x:c r="N23" s="22" t="str">
        <x:v>REQ-MEM-003</x:v>
      </x:c>
      <x:c r="O23" s="22" t="str">
        <x:v>addresses</x:v>
      </x:c>
      <x:c r="P23" s="22" t="str">
        <x:v>API-ADDR-003과 병행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653ea7fcc8144b8"/>
  </x:tableParts>
</x:worksheet>
</file>