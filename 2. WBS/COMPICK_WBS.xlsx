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3086432d6943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BS" sheetId="1" r:id="Ra20ad0b2bbf843ee"/>
    <x:sheet xmlns:r="http://schemas.openxmlformats.org/officeDocument/2006/relationships" name="01_기획·설계" sheetId="2" r:id="R45e5da2a9a4f4c44"/>
    <x:sheet xmlns:r="http://schemas.openxmlformats.org/officeDocument/2006/relationships" name="02_메인·상품" sheetId="3" r:id="R08c64ac0f56c402d"/>
    <x:sheet xmlns:r="http://schemas.openxmlformats.org/officeDocument/2006/relationships" name="03_회원" sheetId="4" r:id="Rb74955c2667640d3"/>
    <x:sheet xmlns:r="http://schemas.openxmlformats.org/officeDocument/2006/relationships" name="04_견적" sheetId="5" r:id="R3e834868ab9143eb"/>
    <x:sheet xmlns:r="http://schemas.openxmlformats.org/officeDocument/2006/relationships" name="05_AI견적" sheetId="6" r:id="Rd594132256884f8e"/>
    <x:sheet xmlns:r="http://schemas.openxmlformats.org/officeDocument/2006/relationships" name="06_장바구니·결제" sheetId="7" r:id="Re8257fe4fd214f61"/>
    <x:sheet xmlns:r="http://schemas.openxmlformats.org/officeDocument/2006/relationships" name="07_관리자·테스트" sheetId="8" r:id="Rc1c8e76f213c4a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yyyy-mm-dd"/>
    <x:numFmt numFmtId="202" formatCode="0&quot;일&quot;"/>
    <x:numFmt numFmtId="203" formatCode="m/d"/>
  </x:numFmts>
  <x:fonts count="17">
    <x:font>
      <x:sz val="11"/>
      <x:name val="Carlito"/>
    </x:font>
    <x:font>
      <x:sz val="10"/>
      <x:color rgb="FF25313C"/>
      <x:name val="Malgun Gothic"/>
    </x:font>
    <x:font>
      <x:b/>
      <x:sz val="18"/>
      <x:color rgb="FFFFFFFF"/>
      <x:name val="Malgun Gothic"/>
    </x:font>
    <x:font>
      <x:sz val="10"/>
      <x:color rgb="FF17365D"/>
      <x:name val="Malgun Gothic"/>
    </x:font>
    <x:font>
      <x:b/>
      <x:sz val="10"/>
      <x:color rgb="FF17365D"/>
      <x:name val="Malgun Gothic"/>
    </x:font>
    <x:font>
      <x:b/>
      <x:sz val="10"/>
      <x:color rgb="FFFFFFFF"/>
      <x:name val="Malgun Gothic"/>
    </x:font>
    <x:font>
      <x:b/>
      <x:sz val="10"/>
      <x:color rgb="FF385723"/>
      <x:name val="Malgun Gothic"/>
    </x:font>
    <x:font>
      <x:b/>
      <x:sz val="10"/>
      <x:color rgb="FF9C5700"/>
      <x:name val="Malgun Gothic"/>
    </x:font>
    <x:font>
      <x:i/>
      <x:sz val="9"/>
      <x:color rgb="FF5B6573"/>
      <x:name val="Malgun Gothic"/>
    </x:font>
    <x:font>
      <x:b/>
      <x:sz val="9"/>
      <x:color rgb="FF385723"/>
      <x:name val="Malgun Gothic"/>
    </x:font>
    <x:font>
      <x:b/>
      <x:sz val="16"/>
      <x:color rgb="FFFFFFFF"/>
      <x:name val="Malgun Gothic"/>
    </x:font>
    <x:font>
      <x:sz val="9"/>
      <x:color rgb="FF17365D"/>
      <x:name val="Malgun Gothic"/>
    </x:font>
    <x:font>
      <x:b/>
      <x:sz val="9"/>
      <x:color rgb="FFFFFFFF"/>
      <x:name val="Malgun Gothic"/>
    </x:font>
    <x:font>
      <x:b/>
      <x:sz val="8"/>
      <x:color rgb="FFFFFFFF"/>
      <x:name val="Malgun Gothic"/>
    </x:font>
    <x:font>
      <x:sz val="9"/>
      <x:color rgb="FF25313C"/>
      <x:name val="Malgun Gothic"/>
    </x:font>
    <x:font>
      <x:b/>
      <x:sz val="9"/>
      <x:color rgb="FF25313C"/>
      <x:name val="Malgun Gothic"/>
    </x:font>
    <x:font>
      <x:b/>
      <x:sz val="9"/>
      <x:color rgb="FF9C5700"/>
      <x:name val="Malgun Gothic"/>
    </x:font>
  </x:fonts>
  <x:fills count="15">
    <x:fill>
      <x:patternFill patternType="none"/>
    </x:fill>
    <x:fill>
      <x:patternFill patternType="gray125"/>
    </x:fill>
    <x:fill>
      <x:patternFill patternType="solid">
        <x:fgColor rgb="FF70AD47"/>
      </x:patternFill>
    </x:fill>
    <x:fill>
      <x:patternFill patternType="solid">
        <x:fgColor rgb="FFF4B183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E4DFEC"/>
      </x:patternFill>
    </x:fill>
    <x:fill>
      <x:patternFill patternType="solid">
        <x:fgColor rgb="FFFCE4D6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</x:fills>
  <x:borders count="11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54">
    <x:xf numFmtId="0" fontId="0" fillId="0" borderId="0" xfId="0"/>
    <x:xf numFmtId="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center"/>
    </x:xf>
    <x:xf numFmtId="200" fontId="4" fillId="6" borderId="0" xfId="0" applyNumberFormat="1" applyFont="1" applyFill="1" applyBorder="1" applyAlignment="1">
      <x:alignment vertical="center"/>
    </x:xf>
    <x:xf numFmtId="201" fontId="4" fillId="6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horizontal="center" wrapText="1"/>
    </x:xf>
    <x:xf numFmtId="0" fontId="5" fillId="7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201" fontId="1" fillId="0" borderId="3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vertical="center"/>
    </x:xf>
    <x:xf numFmtId="201" fontId="1" fillId="0" borderId="9" xfId="0" applyNumberFormat="1" applyFont="1" applyFill="1" applyBorder="1" applyAlignment="1">
      <x:alignment vertical="center"/>
    </x:xf>
    <x:xf numFmtId="202" fontId="1" fillId="0" borderId="3" xfId="0" applyNumberFormat="1" applyFont="1" applyFill="1" applyBorder="1" applyAlignment="1">
      <x:alignment vertical="center"/>
    </x:xf>
    <x:xf numFmtId="202" fontId="1" fillId="0" borderId="6" xfId="0" applyNumberFormat="1" applyFont="1" applyFill="1" applyBorder="1" applyAlignment="1">
      <x:alignment vertical="center"/>
    </x:xf>
    <x:xf numFmtId="202" fontId="1" fillId="0" borderId="9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200" fontId="1" fillId="0" borderId="9" xfId="0" applyNumberFormat="1" applyFont="1" applyFill="1" applyBorder="1" applyAlignment="1">
      <x:alignment vertical="center"/>
    </x:xf>
    <x:xf numFmtId="0" fontId="1" fillId="8" borderId="3" xfId="0" applyNumberFormat="1" applyFont="1" applyFill="1" applyBorder="1" applyAlignment="1">
      <x:alignment vertical="center"/>
    </x:xf>
    <x:xf numFmtId="0" fontId="1" fillId="8" borderId="6" xfId="0" applyNumberFormat="1" applyFont="1" applyFill="1" applyBorder="1" applyAlignment="1">
      <x:alignment vertical="center"/>
    </x:xf>
    <x:xf numFmtId="0" fontId="1" fillId="8" borderId="9" xfId="0" applyNumberFormat="1" applyFont="1" applyFill="1" applyBorder="1" applyAlignment="1">
      <x:alignment vertical="center"/>
    </x:xf>
    <x:xf numFmtId="0" fontId="1" fillId="9" borderId="2" xfId="0" applyNumberFormat="1" applyFont="1" applyFill="1" applyBorder="1" applyAlignment="1">
      <x:alignment vertical="center"/>
    </x:xf>
    <x:xf numFmtId="0" fontId="1" fillId="9" borderId="3" xfId="0" applyNumberFormat="1" applyFont="1" applyFill="1" applyBorder="1" applyAlignment="1">
      <x:alignment vertical="center"/>
    </x:xf>
    <x:xf numFmtId="0" fontId="1" fillId="9" borderId="4" xfId="0" applyNumberFormat="1" applyFont="1" applyFill="1" applyBorder="1" applyAlignment="1">
      <x:alignment vertical="center"/>
    </x:xf>
    <x:xf numFmtId="0" fontId="6" fillId="9" borderId="4" xfId="0" applyNumberFormat="1" applyFont="1" applyFill="1" applyBorder="1" applyAlignment="1">
      <x:alignment vertical="center"/>
    </x:xf>
    <x:xf numFmtId="0" fontId="6" fillId="9" borderId="4" xfId="0" applyNumberFormat="1" applyFont="1" applyFill="1" applyBorder="1" applyAlignment="1">
      <x:alignment horizontal="center" vertical="center"/>
    </x:xf>
    <x:xf numFmtId="0" fontId="1" fillId="9" borderId="5" xfId="0" applyNumberFormat="1" applyFont="1" applyFill="1" applyBorder="1" applyAlignment="1">
      <x:alignment vertical="center"/>
    </x:xf>
    <x:xf numFmtId="0" fontId="1" fillId="9" borderId="6" xfId="0" applyNumberFormat="1" applyFont="1" applyFill="1" applyBorder="1" applyAlignment="1">
      <x:alignment vertical="center"/>
    </x:xf>
    <x:xf numFmtId="0" fontId="1" fillId="9" borderId="7" xfId="0" applyNumberFormat="1" applyFont="1" applyFill="1" applyBorder="1" applyAlignment="1">
      <x:alignment vertical="center"/>
    </x:xf>
    <x:xf numFmtId="0" fontId="6" fillId="9" borderId="7" xfId="0" applyNumberFormat="1" applyFont="1" applyFill="1" applyBorder="1" applyAlignment="1">
      <x:alignment vertical="center"/>
    </x:xf>
    <x:xf numFmtId="0" fontId="6" fillId="9" borderId="7" xfId="0" applyNumberFormat="1" applyFont="1" applyFill="1" applyBorder="1" applyAlignment="1">
      <x:alignment horizontal="center" vertical="center"/>
    </x:xf>
    <x:xf numFmtId="0" fontId="1" fillId="10" borderId="5" xfId="0" applyNumberFormat="1" applyFont="1" applyFill="1" applyBorder="1" applyAlignment="1">
      <x:alignment vertical="center"/>
    </x:xf>
    <x:xf numFmtId="0" fontId="1" fillId="10" borderId="6" xfId="0" applyNumberFormat="1" applyFont="1" applyFill="1" applyBorder="1" applyAlignment="1">
      <x:alignment vertical="center"/>
    </x:xf>
    <x:xf numFmtId="0" fontId="1" fillId="11" borderId="5" xfId="0" applyNumberFormat="1" applyFont="1" applyFill="1" applyBorder="1" applyAlignment="1">
      <x:alignment vertical="center"/>
    </x:xf>
    <x:xf numFmtId="0" fontId="1" fillId="11" borderId="6" xfId="0" applyNumberFormat="1" applyFont="1" applyFill="1" applyBorder="1" applyAlignment="1">
      <x:alignment vertical="center"/>
    </x:xf>
    <x:xf numFmtId="0" fontId="1" fillId="12" borderId="7" xfId="0" applyNumberFormat="1" applyFont="1" applyFill="1" applyBorder="1" applyAlignment="1">
      <x:alignment vertical="center"/>
    </x:xf>
    <x:xf numFmtId="0" fontId="7" fillId="12" borderId="7" xfId="0" applyNumberFormat="1" applyFont="1" applyFill="1" applyBorder="1" applyAlignment="1">
      <x:alignment vertical="center"/>
    </x:xf>
    <x:xf numFmtId="0" fontId="7" fillId="12" borderId="7" xfId="0" applyNumberFormat="1" applyFont="1" applyFill="1" applyBorder="1" applyAlignment="1">
      <x:alignment horizontal="center" vertical="center"/>
    </x:xf>
    <x:xf numFmtId="0" fontId="1" fillId="11" borderId="8" xfId="0" applyNumberFormat="1" applyFont="1" applyFill="1" applyBorder="1" applyAlignment="1">
      <x:alignment vertical="center"/>
    </x:xf>
    <x:xf numFmtId="0" fontId="1" fillId="11" borderId="9" xfId="0" applyNumberFormat="1" applyFont="1" applyFill="1" applyBorder="1" applyAlignment="1">
      <x:alignment vertical="center"/>
    </x:xf>
    <x:xf numFmtId="0" fontId="1" fillId="12" borderId="10" xfId="0" applyNumberFormat="1" applyFont="1" applyFill="1" applyBorder="1" applyAlignment="1">
      <x:alignment vertical="center"/>
    </x:xf>
    <x:xf numFmtId="0" fontId="7" fillId="12" borderId="10" xfId="0" applyNumberFormat="1" applyFont="1" applyFill="1" applyBorder="1" applyAlignment="1">
      <x:alignment vertical="center"/>
    </x:xf>
    <x:xf numFmtId="0" fontId="7" fillId="12" borderId="1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horizontal="left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0" fillId="4" borderId="0" xfId="0" applyNumberFormat="1" applyFont="1" applyFill="1" applyBorder="1"/>
    <x:xf numFmtId="0" fontId="10" fillId="4" borderId="0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11" fillId="5" borderId="0" xfId="0" applyNumberFormat="1" applyFont="1" applyFill="1" applyBorder="1"/>
    <x:xf numFmtId="0" fontId="11" fillId="5" borderId="0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12" fillId="13" borderId="0" xfId="0" applyNumberFormat="1" applyFont="1" applyFill="1" applyBorder="1"/>
    <x:xf numFmtId="0" fontId="12" fillId="13" borderId="1" xfId="0" applyNumberFormat="1" applyFont="1" applyFill="1" applyBorder="1"/>
    <x:xf numFmtId="0" fontId="12" fillId="13" borderId="1" xfId="0" applyNumberFormat="1" applyFont="1" applyFill="1" applyBorder="1" applyAlignment="1">
      <x:alignment horizontal="center"/>
    </x:xf>
    <x:xf numFmtId="0" fontId="12" fillId="13" borderId="1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13" fillId="14" borderId="0" xfId="0" applyNumberFormat="1" applyFont="1" applyFill="1" applyBorder="1"/>
    <x:xf numFmtId="0" fontId="13" fillId="14" borderId="6" xfId="0" applyNumberFormat="1" applyFont="1" applyFill="1" applyBorder="1"/>
    <x:xf numFmtId="0" fontId="13" fillId="14" borderId="6" xfId="0" applyNumberFormat="1" applyFont="1" applyFill="1" applyBorder="1" applyAlignment="1">
      <x:alignment wrapText="1"/>
    </x:xf>
    <x:xf numFmtId="0" fontId="13" fillId="14" borderId="6" xfId="0" applyNumberFormat="1" applyFont="1" applyFill="1" applyBorder="1" applyAlignment="1">
      <x:alignment horizontal="center" wrapText="1"/>
    </x:xf>
    <x:xf numFmtId="0" fontId="13" fillId="14" borderId="6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9" fillId="9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9" fillId="9" borderId="7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9" fillId="9" borderId="10" xfId="0" applyNumberFormat="1" applyFont="1" applyFill="1" applyBorder="1" applyAlignment="1">
      <x:alignment horizontal="center"/>
    </x:xf>
    <x:xf numFmtId="0" fontId="14" fillId="0" borderId="2" xfId="0" applyNumberFormat="1" applyFont="1" applyFill="1" applyBorder="1"/>
    <x:xf numFmtId="0" fontId="14" fillId="0" borderId="3" xfId="0" applyNumberFormat="1" applyFont="1" applyFill="1" applyBorder="1"/>
    <x:xf numFmtId="0" fontId="15" fillId="9" borderId="4" xfId="0" applyNumberFormat="1" applyFont="1" applyFill="1" applyBorder="1" applyAlignment="1">
      <x:alignment horizontal="center"/>
    </x:xf>
    <x:xf numFmtId="0" fontId="14" fillId="2" borderId="0" xfId="0" applyNumberFormat="1" applyFont="1" applyFill="1" applyBorder="1"/>
    <x:xf numFmtId="0" fontId="14" fillId="0" borderId="0" xfId="0" applyNumberFormat="1" applyFont="1" applyFill="1" applyBorder="1"/>
    <x:xf numFmtId="0" fontId="14" fillId="0" borderId="5" xfId="0" applyNumberFormat="1" applyFont="1" applyFill="1" applyBorder="1"/>
    <x:xf numFmtId="0" fontId="14" fillId="0" borderId="6" xfId="0" applyNumberFormat="1" applyFont="1" applyFill="1" applyBorder="1"/>
    <x:xf numFmtId="0" fontId="15" fillId="9" borderId="7" xfId="0" applyNumberFormat="1" applyFont="1" applyFill="1" applyBorder="1" applyAlignment="1">
      <x:alignment horizontal="center"/>
    </x:xf>
    <x:xf numFmtId="0" fontId="14" fillId="0" borderId="8" xfId="0" applyNumberFormat="1" applyFont="1" applyFill="1" applyBorder="1"/>
    <x:xf numFmtId="0" fontId="14" fillId="0" borderId="9" xfId="0" applyNumberFormat="1" applyFont="1" applyFill="1" applyBorder="1"/>
    <x:xf numFmtId="0" fontId="15" fillId="9" borderId="10" xfId="0" applyNumberFormat="1" applyFont="1" applyFill="1" applyBorder="1" applyAlignment="1">
      <x:alignment horizontal="center"/>
    </x:xf>
    <x:xf numFmtId="0" fontId="14" fillId="6" borderId="2" xfId="0" applyNumberFormat="1" applyFont="1" applyFill="1" applyBorder="1"/>
    <x:xf numFmtId="0" fontId="14" fillId="6" borderId="3" xfId="0" applyNumberFormat="1" applyFont="1" applyFill="1" applyBorder="1"/>
    <x:xf numFmtId="0" fontId="14" fillId="6" borderId="5" xfId="0" applyNumberFormat="1" applyFont="1" applyFill="1" applyBorder="1"/>
    <x:xf numFmtId="0" fontId="14" fillId="6" borderId="6" xfId="0" applyNumberFormat="1" applyFont="1" applyFill="1" applyBorder="1"/>
    <x:xf numFmtId="0" fontId="14" fillId="6" borderId="8" xfId="0" applyNumberFormat="1" applyFont="1" applyFill="1" applyBorder="1"/>
    <x:xf numFmtId="0" fontId="14" fillId="6" borderId="9" xfId="0" applyNumberFormat="1" applyFont="1" applyFill="1" applyBorder="1"/>
    <x:xf numFmtId="0" fontId="14" fillId="8" borderId="3" xfId="0" applyNumberFormat="1" applyFont="1" applyFill="1" applyBorder="1"/>
    <x:xf numFmtId="0" fontId="14" fillId="8" borderId="6" xfId="0" applyNumberFormat="1" applyFont="1" applyFill="1" applyBorder="1"/>
    <x:xf numFmtId="0" fontId="14" fillId="8" borderId="9" xfId="0" applyNumberFormat="1" applyFont="1" applyFill="1" applyBorder="1"/>
    <x:xf numFmtId="0" fontId="14" fillId="0" borderId="3" xfId="0" applyNumberFormat="1" applyFont="1" applyFill="1" applyBorder="1" applyAlignment="1">
      <x:alignment wrapText="1"/>
    </x:xf>
    <x:xf numFmtId="0" fontId="14" fillId="0" borderId="6" xfId="0" applyNumberFormat="1" applyFont="1" applyFill="1" applyBorder="1" applyAlignment="1">
      <x:alignment wrapText="1"/>
    </x:xf>
    <x:xf numFmtId="0" fontId="14" fillId="0" borderId="9" xfId="0" applyNumberFormat="1" applyFont="1" applyFill="1" applyBorder="1" applyAlignment="1">
      <x:alignment wrapText="1"/>
    </x:xf>
    <x:xf numFmtId="201" fontId="14" fillId="0" borderId="3" xfId="0" applyNumberFormat="1" applyFont="1" applyFill="1" applyBorder="1"/>
    <x:xf numFmtId="201" fontId="14" fillId="0" borderId="6" xfId="0" applyNumberFormat="1" applyFont="1" applyFill="1" applyBorder="1"/>
    <x:xf numFmtId="201" fontId="14" fillId="0" borderId="9" xfId="0" applyNumberFormat="1" applyFont="1" applyFill="1" applyBorder="1"/>
    <x:xf numFmtId="200" fontId="14" fillId="0" borderId="3" xfId="0" applyNumberFormat="1" applyFont="1" applyFill="1" applyBorder="1"/>
    <x:xf numFmtId="200" fontId="14" fillId="0" borderId="6" xfId="0" applyNumberFormat="1" applyFont="1" applyFill="1" applyBorder="1"/>
    <x:xf numFmtId="200" fontId="14" fillId="0" borderId="9" xfId="0" applyNumberFormat="1" applyFont="1" applyFill="1" applyBorder="1"/>
    <x:xf numFmtId="203" fontId="13" fillId="14" borderId="6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16" fillId="12" borderId="0" xfId="0" applyNumberFormat="1" applyFont="1" applyFill="1" applyBorder="1"/>
    <x:xf numFmtId="0" fontId="16" fillId="12" borderId="0" xfId="0" applyNumberFormat="1" applyFont="1" applyFill="1" applyBorder="1" applyAlignment="1">
      <x:alignment horizontal="center"/>
    </x:xf>
    <x:xf numFmtId="0" fontId="16" fillId="12" borderId="7" xfId="0" applyNumberFormat="1" applyFont="1" applyFill="1" applyBorder="1" applyAlignment="1">
      <x:alignment horizontal="center"/>
    </x:xf>
    <x:xf numFmtId="0" fontId="16" fillId="12" borderId="10" xfId="0" applyNumberFormat="1" applyFont="1" applyFill="1" applyBorder="1" applyAlignment="1">
      <x:alignment horizontal="center"/>
    </x:xf>
    <x:xf numFmtId="0" fontId="15" fillId="12" borderId="7" xfId="0" applyNumberFormat="1" applyFont="1" applyFill="1" applyBorder="1" applyAlignment="1">
      <x:alignment horizontal="center"/>
    </x:xf>
    <x:xf numFmtId="0" fontId="14" fillId="3" borderId="0" xfId="0" applyNumberFormat="1" applyFont="1" applyFill="1" applyBorder="1"/>
    <x:xf numFmtId="0" fontId="15" fillId="12" borderId="1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cfd4f700c44e67" /><Relationship Type="http://schemas.openxmlformats.org/officeDocument/2006/relationships/theme" Target="/xl/theme/theme1.xml" Id="Rf52d503452064f81" /><Relationship Type="http://schemas.openxmlformats.org/officeDocument/2006/relationships/sharedStrings" Target="/xl/sharedStrings.xml" Id="R5d318b70d8784c7c" /><Relationship Type="http://schemas.openxmlformats.org/officeDocument/2006/relationships/worksheet" Target="/xl/worksheets/sheet1.xml" Id="Ra20ad0b2bbf843ee" /><Relationship Type="http://schemas.openxmlformats.org/officeDocument/2006/relationships/worksheet" Target="/xl/worksheets/sheet2.xml" Id="R45e5da2a9a4f4c44" /><Relationship Type="http://schemas.openxmlformats.org/officeDocument/2006/relationships/worksheet" Target="/xl/worksheets/sheet3.xml" Id="R08c64ac0f56c402d" /><Relationship Type="http://schemas.openxmlformats.org/officeDocument/2006/relationships/worksheet" Target="/xl/worksheets/sheet4.xml" Id="Rb74955c2667640d3" /><Relationship Type="http://schemas.openxmlformats.org/officeDocument/2006/relationships/worksheet" Target="/xl/worksheets/sheet5.xml" Id="R3e834868ab9143eb" /><Relationship Type="http://schemas.openxmlformats.org/officeDocument/2006/relationships/worksheet" Target="/xl/worksheets/sheet6.xml" Id="Rd594132256884f8e" /><Relationship Type="http://schemas.openxmlformats.org/officeDocument/2006/relationships/worksheet" Target="/xl/worksheets/sheet7.xml" Id="Re8257fe4fd214f61" /><Relationship Type="http://schemas.openxmlformats.org/officeDocument/2006/relationships/worksheet" Target="/xl/worksheets/sheet8.xml" Id="Rc1c8e76f213c4a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5" hidden="0" customWidth="1"/>
    <x:col min="3" max="3" width="48" hidden="0" customWidth="1"/>
    <x:col min="4" max="4" width="11" hidden="0" customWidth="1"/>
    <x:col min="5" max="5" width="13" hidden="0" customWidth="1"/>
    <x:col min="6" max="6" width="13" hidden="0" customWidth="1"/>
    <x:col min="7" max="7" width="9" hidden="0" customWidth="1"/>
    <x:col min="8" max="8" width="10" hidden="0" customWidth="1"/>
    <x:col min="9" max="9" width="11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 ht="32" customHeight="1">
      <x:c r="A1" s="9" t="str">
        <x:v>COMPICK 프로젝트 WBS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</x:row>
    <x:row r="2" ht="24" customHeight="1">
      <x:c r="A2" s="13" t="str">
        <x:v>AI 추천과 부품 호환성 검사를 제공하는 PC 견적·구매 통합 플랫폼  |  기준 기간: 2026-07-10 ~ 2026-08-07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25" customHeight="1">
      <x:c r="A4" s="16" t="str">
        <x:v>전체 진행률</x:v>
      </x:c>
      <x:c r="B4" s="16"/>
      <x:c r="C4" s="17" t="n">
        <x:f>AVERAGE(H7:H35)</x:f>
        <x:v>0.9568965517241378</x:v>
      </x:c>
      <x:c r="D4" s="16"/>
      <x:c r="E4" s="16" t="str">
        <x:v>완료 작업</x:v>
      </x:c>
      <x:c r="F4" s="16"/>
      <x:c r="G4" s="16" t="n">
        <x:f>COUNTIF(I7:I35,"완료")</x:f>
        <x:v>21</x:v>
      </x:c>
      <x:c r="H4" s="16"/>
      <x:c r="I4" s="16" t="str">
        <x:v>진행 중</x:v>
      </x:c>
      <x:c r="J4" s="16"/>
      <x:c r="K4" s="16" t="n">
        <x:f>COUNTIF(I7:I35,"진행 중")</x:f>
        <x:v>8</x:v>
      </x:c>
      <x:c r="L4" s="16" t="str">
        <x:v>기준일</x:v>
      </x:c>
      <x:c r="M4" s="18" t="n">
        <x:v>46241</x:v>
      </x:c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</x:row>
    <x:row r="6" ht="34" customHeight="1">
      <x:c r="A6" s="24" t="str">
        <x:v>단계</x:v>
      </x:c>
      <x:c r="B6" s="24" t="str">
        <x:v>기능 영역</x:v>
      </x:c>
      <x:c r="C6" s="24" t="str">
        <x:v>세부 작업</x:v>
      </x:c>
      <x:c r="D6" s="24" t="str">
        <x:v>담당자</x:v>
      </x:c>
      <x:c r="E6" s="24" t="str">
        <x:v>시작일</x:v>
      </x:c>
      <x:c r="F6" s="24" t="str">
        <x:v>종료일</x:v>
      </x:c>
      <x:c r="G6" s="24" t="str">
        <x:v>기간</x:v>
      </x:c>
      <x:c r="H6" s="24" t="str">
        <x:v>완료율</x:v>
      </x:c>
      <x:c r="I6" s="24" t="str">
        <x:v>상태</x:v>
      </x:c>
      <x:c r="J6" s="24" t="str">
        <x:v>1주차
7/10~7/16</x:v>
      </x:c>
      <x:c r="K6" s="24" t="str">
        <x:v>2주차
7/17~7/23</x:v>
      </x:c>
      <x:c r="L6" s="24" t="str">
        <x:v>3주차
7/24~7/30</x:v>
      </x:c>
      <x:c r="M6" s="24" t="str">
        <x:v>4주차
7/31~8/07</x:v>
      </x:c>
    </x:row>
    <x:row r="7" ht="30" customHeight="1">
      <x:c r="A7" s="61" t="str">
        <x:v>기획</x:v>
      </x:c>
      <x:c r="B7" s="62" t="str">
        <x:v>프로젝트 관리</x:v>
      </x:c>
      <x:c r="C7" s="46" t="str">
        <x:v>프로젝트 목표 및 서비스 범위 정의</x:v>
      </x:c>
      <x:c r="D7" s="58" t="str"/>
      <x:c r="E7" s="49" t="n">
        <x:v>46213</x:v>
      </x:c>
      <x:c r="F7" s="49" t="n">
        <x:v>46213</x:v>
      </x:c>
      <x:c r="G7" s="52" t="n">
        <x:f>F7-E7+1</x:f>
        <x:v>1</x:v>
      </x:c>
      <x:c r="H7" s="55" t="n">
        <x:v>1</x:v>
      </x:c>
      <x:c r="I7" s="65" t="str">
        <x:f>IF(H7=1,"완료",IF(H7&gt;0,"진행 중","예정"))</x:f>
        <x:v>완료</x:v>
      </x:c>
      <x:c r="J7" s="37" t="str"/>
      <x:c r="K7" s="38" t="str"/>
      <x:c r="L7" s="38" t="str"/>
      <x:c r="M7" s="38" t="str"/>
    </x:row>
    <x:row r="8" ht="30" customHeight="1">
      <x:c r="A8" s="66" t="str">
        <x:v>기획</x:v>
      </x:c>
      <x:c r="B8" s="67" t="str">
        <x:v>프로젝트 관리</x:v>
      </x:c>
      <x:c r="C8" s="47" t="str">
        <x:v>팀 역할 분담 및 Git 브랜치 전략 수립</x:v>
      </x:c>
      <x:c r="D8" s="59" t="str"/>
      <x:c r="E8" s="50" t="n">
        <x:v>46213</x:v>
      </x:c>
      <x:c r="F8" s="50" t="n">
        <x:v>46216</x:v>
      </x:c>
      <x:c r="G8" s="53" t="n">
        <x:f>F8-E8+1</x:f>
        <x:v>4</x:v>
      </x:c>
      <x:c r="H8" s="56" t="n">
        <x:v>1</x:v>
      </x:c>
      <x:c r="I8" s="70" t="str">
        <x:f>IF(H8=1,"완료",IF(H8&gt;0,"진행 중","예정"))</x:f>
        <x:v>완료</x:v>
      </x:c>
      <x:c r="J8" s="37" t="str"/>
      <x:c r="K8" s="38" t="str"/>
      <x:c r="L8" s="38" t="str"/>
      <x:c r="M8" s="38" t="str"/>
    </x:row>
    <x:row r="9" ht="30" customHeight="1">
      <x:c r="A9" s="66" t="str">
        <x:v>기획</x:v>
      </x:c>
      <x:c r="B9" s="67" t="str">
        <x:v>요구사항</x:v>
      </x:c>
      <x:c r="C9" s="47" t="str">
        <x:v>사용자 흐름과 핵심 기능 요구사항 정의</x:v>
      </x:c>
      <x:c r="D9" s="59" t="str"/>
      <x:c r="E9" s="50" t="n">
        <x:v>46216</x:v>
      </x:c>
      <x:c r="F9" s="50" t="n">
        <x:v>46219</x:v>
      </x:c>
      <x:c r="G9" s="53" t="n">
        <x:f>F9-E9+1</x:f>
        <x:v>4</x:v>
      </x:c>
      <x:c r="H9" s="56" t="n">
        <x:v>1</x:v>
      </x:c>
      <x:c r="I9" s="70" t="str">
        <x:f>IF(H9=1,"완료",IF(H9&gt;0,"진행 중","예정"))</x:f>
        <x:v>완료</x:v>
      </x:c>
      <x:c r="J9" s="37" t="str"/>
      <x:c r="K9" s="38" t="str"/>
      <x:c r="L9" s="38" t="str"/>
      <x:c r="M9" s="38" t="str"/>
    </x:row>
    <x:row r="10" ht="30" customHeight="1">
      <x:c r="A10" s="66" t="str">
        <x:v>기획</x:v>
      </x:c>
      <x:c r="B10" s="67" t="str">
        <x:v>상품 데이터</x:v>
      </x:c>
      <x:c r="C10" s="47" t="str">
        <x:v>PC 부품 데이터셋 수집 및 정제 기준 수립</x:v>
      </x:c>
      <x:c r="D10" s="59" t="str"/>
      <x:c r="E10" s="50" t="n">
        <x:v>46217</x:v>
      </x:c>
      <x:c r="F10" s="50" t="n">
        <x:v>46219</x:v>
      </x:c>
      <x:c r="G10" s="53" t="n">
        <x:f>F10-E10+1</x:f>
        <x:v>3</x:v>
      </x:c>
      <x:c r="H10" s="56" t="n">
        <x:v>1</x:v>
      </x:c>
      <x:c r="I10" s="70" t="str">
        <x:f>IF(H10=1,"완료",IF(H10&gt;0,"진행 중","예정"))</x:f>
        <x:v>완료</x:v>
      </x:c>
      <x:c r="J10" s="37" t="str"/>
      <x:c r="K10" s="38" t="str"/>
      <x:c r="L10" s="38" t="str"/>
      <x:c r="M10" s="38" t="str"/>
    </x:row>
    <x:row r="11" ht="30" customHeight="1">
      <x:c r="A11" s="66" t="str">
        <x:v>기획</x:v>
      </x:c>
      <x:c r="B11" s="67" t="str">
        <x:v>AI 견적</x:v>
      </x:c>
      <x:c r="C11" s="47" t="str">
        <x:v>LLM 활용 방식 및 추천 응답 구조 정의</x:v>
      </x:c>
      <x:c r="D11" s="59" t="str"/>
      <x:c r="E11" s="50" t="n">
        <x:v>46218</x:v>
      </x:c>
      <x:c r="F11" s="50" t="n">
        <x:v>46220</x:v>
      </x:c>
      <x:c r="G11" s="53" t="n">
        <x:f>F11-E11+1</x:f>
        <x:v>3</x:v>
      </x:c>
      <x:c r="H11" s="56" t="n">
        <x:v>1</x:v>
      </x:c>
      <x:c r="I11" s="70" t="str">
        <x:f>IF(H11=1,"완료",IF(H11&gt;0,"진행 중","예정"))</x:f>
        <x:v>완료</x:v>
      </x:c>
      <x:c r="J11" s="37" t="str"/>
      <x:c r="K11" s="37" t="str"/>
      <x:c r="L11" s="38" t="str"/>
      <x:c r="M11" s="38" t="str"/>
    </x:row>
    <x:row r="12" ht="30" customHeight="1">
      <x:c r="A12" s="66" t="str">
        <x:v>기획</x:v>
      </x:c>
      <x:c r="B12" s="67" t="str">
        <x:v>일정 관리</x:v>
      </x:c>
      <x:c r="C12" s="47" t="str">
        <x:v>기능별 WBS와 개발 우선순위 확정</x:v>
      </x:c>
      <x:c r="D12" s="59" t="str"/>
      <x:c r="E12" s="50" t="n">
        <x:v>46219</x:v>
      </x:c>
      <x:c r="F12" s="50" t="n">
        <x:v>46220</x:v>
      </x:c>
      <x:c r="G12" s="53" t="n">
        <x:f>F12-E12+1</x:f>
        <x:v>2</x:v>
      </x:c>
      <x:c r="H12" s="56" t="n">
        <x:v>1</x:v>
      </x:c>
      <x:c r="I12" s="70" t="str">
        <x:f>IF(H12=1,"완료",IF(H12&gt;0,"진행 중","예정"))</x:f>
        <x:v>완료</x:v>
      </x:c>
      <x:c r="J12" s="37" t="str"/>
      <x:c r="K12" s="37" t="str"/>
      <x:c r="L12" s="38" t="str"/>
      <x:c r="M12" s="38" t="str"/>
    </x:row>
    <x:row r="13" ht="30" customHeight="1">
      <x:c r="A13" s="71" t="str">
        <x:v>설계</x:v>
      </x:c>
      <x:c r="B13" s="72" t="str">
        <x:v>화면 설계</x:v>
      </x:c>
      <x:c r="C13" s="47" t="str">
        <x:v>공통 레이아웃·헤더·푸터·디자인 시스템 설계</x:v>
      </x:c>
      <x:c r="D13" s="59" t="str"/>
      <x:c r="E13" s="50" t="n">
        <x:v>46217</x:v>
      </x:c>
      <x:c r="F13" s="50" t="n">
        <x:v>46220</x:v>
      </x:c>
      <x:c r="G13" s="53" t="n">
        <x:f>F13-E13+1</x:f>
        <x:v>4</x:v>
      </x:c>
      <x:c r="H13" s="56" t="n">
        <x:v>1</x:v>
      </x:c>
      <x:c r="I13" s="70" t="str">
        <x:f>IF(H13=1,"완료",IF(H13&gt;0,"진행 중","예정"))</x:f>
        <x:v>완료</x:v>
      </x:c>
      <x:c r="J13" s="37" t="str"/>
      <x:c r="K13" s="37" t="str"/>
      <x:c r="L13" s="38" t="str"/>
      <x:c r="M13" s="38" t="str"/>
    </x:row>
    <x:row r="14" ht="30" customHeight="1">
      <x:c r="A14" s="71" t="str">
        <x:v>설계</x:v>
      </x:c>
      <x:c r="B14" s="72" t="str">
        <x:v>메인/상품</x:v>
      </x:c>
      <x:c r="C14" s="47" t="str">
        <x:v>메인·상품 목록·상품 상세 화면 설계</x:v>
      </x:c>
      <x:c r="D14" s="59" t="str"/>
      <x:c r="E14" s="50" t="n">
        <x:v>46218</x:v>
      </x:c>
      <x:c r="F14" s="50" t="n">
        <x:v>46222</x:v>
      </x:c>
      <x:c r="G14" s="53" t="n">
        <x:f>F14-E14+1</x:f>
        <x:v>5</x:v>
      </x:c>
      <x:c r="H14" s="56" t="n">
        <x:v>1</x:v>
      </x:c>
      <x:c r="I14" s="70" t="str">
        <x:f>IF(H14=1,"완료",IF(H14&gt;0,"진행 중","예정"))</x:f>
        <x:v>완료</x:v>
      </x:c>
      <x:c r="J14" s="37" t="str"/>
      <x:c r="K14" s="37" t="str"/>
      <x:c r="L14" s="38" t="str"/>
      <x:c r="M14" s="38" t="str"/>
    </x:row>
    <x:row r="15" ht="30" customHeight="1">
      <x:c r="A15" s="71" t="str">
        <x:v>설계</x:v>
      </x:c>
      <x:c r="B15" s="72" t="str">
        <x:v>회원</x:v>
      </x:c>
      <x:c r="C15" s="47" t="str">
        <x:v>로그인·회원가입·마이페이지 화면 설계</x:v>
      </x:c>
      <x:c r="D15" s="59" t="str"/>
      <x:c r="E15" s="50" t="n">
        <x:v>46219</x:v>
      </x:c>
      <x:c r="F15" s="50" t="n">
        <x:v>46223</x:v>
      </x:c>
      <x:c r="G15" s="53" t="n">
        <x:f>F15-E15+1</x:f>
        <x:v>5</x:v>
      </x:c>
      <x:c r="H15" s="56" t="n">
        <x:v>1</x:v>
      </x:c>
      <x:c r="I15" s="70" t="str">
        <x:f>IF(H15=1,"완료",IF(H15&gt;0,"진행 중","예정"))</x:f>
        <x:v>완료</x:v>
      </x:c>
      <x:c r="J15" s="37" t="str"/>
      <x:c r="K15" s="37" t="str"/>
      <x:c r="L15" s="38" t="str"/>
      <x:c r="M15" s="38" t="str"/>
    </x:row>
    <x:row r="16" ht="30" customHeight="1">
      <x:c r="A16" s="71" t="str">
        <x:v>설계</x:v>
      </x:c>
      <x:c r="B16" s="72" t="str">
        <x:v>견적</x:v>
      </x:c>
      <x:c r="C16" s="47" t="str">
        <x:v>직접 견적·추천 견적 화면 및 상태 설계</x:v>
      </x:c>
      <x:c r="D16" s="59" t="str"/>
      <x:c r="E16" s="50" t="n">
        <x:v>46220</x:v>
      </x:c>
      <x:c r="F16" s="50" t="n">
        <x:v>46224</x:v>
      </x:c>
      <x:c r="G16" s="53" t="n">
        <x:f>F16-E16+1</x:f>
        <x:v>5</x:v>
      </x:c>
      <x:c r="H16" s="56" t="n">
        <x:v>1</x:v>
      </x:c>
      <x:c r="I16" s="70" t="str">
        <x:f>IF(H16=1,"완료",IF(H16&gt;0,"진행 중","예정"))</x:f>
        <x:v>완료</x:v>
      </x:c>
      <x:c r="J16" s="38" t="str"/>
      <x:c r="K16" s="37" t="str"/>
      <x:c r="L16" s="38" t="str"/>
      <x:c r="M16" s="38" t="str"/>
    </x:row>
    <x:row r="17" ht="30" customHeight="1">
      <x:c r="A17" s="71" t="str">
        <x:v>설계</x:v>
      </x:c>
      <x:c r="B17" s="72" t="str">
        <x:v>AI 견적</x:v>
      </x:c>
      <x:c r="C17" s="47" t="str">
        <x:v>조건 입력·생성 상태·결과 화면 설계</x:v>
      </x:c>
      <x:c r="D17" s="59" t="str"/>
      <x:c r="E17" s="50" t="n">
        <x:v>46222</x:v>
      </x:c>
      <x:c r="F17" s="50" t="n">
        <x:v>46225</x:v>
      </x:c>
      <x:c r="G17" s="53" t="n">
        <x:f>F17-E17+1</x:f>
        <x:v>4</x:v>
      </x:c>
      <x:c r="H17" s="56" t="n">
        <x:v>1</x:v>
      </x:c>
      <x:c r="I17" s="70" t="str">
        <x:f>IF(H17=1,"완료",IF(H17&gt;0,"진행 중","예정"))</x:f>
        <x:v>완료</x:v>
      </x:c>
      <x:c r="J17" s="38" t="str"/>
      <x:c r="K17" s="37" t="str"/>
      <x:c r="L17" s="38" t="str"/>
      <x:c r="M17" s="38" t="str"/>
    </x:row>
    <x:row r="18" ht="30" customHeight="1">
      <x:c r="A18" s="71" t="str">
        <x:v>설계</x:v>
      </x:c>
      <x:c r="B18" s="72" t="str">
        <x:v>구매 흐름</x:v>
      </x:c>
      <x:c r="C18" s="47" t="str">
        <x:v>장바구니·주문·결제 화면 설계</x:v>
      </x:c>
      <x:c r="D18" s="59" t="str"/>
      <x:c r="E18" s="50" t="n">
        <x:v>46223</x:v>
      </x:c>
      <x:c r="F18" s="50" t="n">
        <x:v>46226</x:v>
      </x:c>
      <x:c r="G18" s="53" t="n">
        <x:f>F18-E18+1</x:f>
        <x:v>4</x:v>
      </x:c>
      <x:c r="H18" s="56" t="n">
        <x:v>1</x:v>
      </x:c>
      <x:c r="I18" s="70" t="str">
        <x:f>IF(H18=1,"완료",IF(H18&gt;0,"진행 중","예정"))</x:f>
        <x:v>완료</x:v>
      </x:c>
      <x:c r="J18" s="38" t="str"/>
      <x:c r="K18" s="37" t="str"/>
      <x:c r="L18" s="38" t="str"/>
      <x:c r="M18" s="38" t="str"/>
    </x:row>
    <x:row r="19" ht="30" customHeight="1">
      <x:c r="A19" s="71" t="str">
        <x:v>설계</x:v>
      </x:c>
      <x:c r="B19" s="72" t="str">
        <x:v>데이터베이스</x:v>
      </x:c>
      <x:c r="C19" s="47" t="str">
        <x:v>회원·상품·견적·장바구니·주문 ERD 설계</x:v>
      </x:c>
      <x:c r="D19" s="59" t="str"/>
      <x:c r="E19" s="50" t="n">
        <x:v>46224</x:v>
      </x:c>
      <x:c r="F19" s="50" t="n">
        <x:v>46229</x:v>
      </x:c>
      <x:c r="G19" s="53" t="n">
        <x:f>F19-E19+1</x:f>
        <x:v>6</x:v>
      </x:c>
      <x:c r="H19" s="56" t="n">
        <x:v>1</x:v>
      </x:c>
      <x:c r="I19" s="70" t="str">
        <x:f>IF(H19=1,"완료",IF(H19&gt;0,"진행 중","예정"))</x:f>
        <x:v>완료</x:v>
      </x:c>
      <x:c r="J19" s="38" t="str"/>
      <x:c r="K19" s="37" t="str"/>
      <x:c r="L19" s="37" t="str"/>
      <x:c r="M19" s="38" t="str"/>
    </x:row>
    <x:row r="20" ht="30" customHeight="1">
      <x:c r="A20" s="71" t="str">
        <x:v>설계</x:v>
      </x:c>
      <x:c r="B20" s="72" t="str">
        <x:v>데이터베이스</x:v>
      </x:c>
      <x:c r="C20" s="47" t="str">
        <x:v>테이블 생성 SQL 및 초기 상품 데이터 구성</x:v>
      </x:c>
      <x:c r="D20" s="59" t="str"/>
      <x:c r="E20" s="50" t="n">
        <x:v>46229</x:v>
      </x:c>
      <x:c r="F20" s="50" t="n">
        <x:v>46230</x:v>
      </x:c>
      <x:c r="G20" s="53" t="n">
        <x:f>F20-E20+1</x:f>
        <x:v>2</x:v>
      </x:c>
      <x:c r="H20" s="56" t="n">
        <x:v>1</x:v>
      </x:c>
      <x:c r="I20" s="70" t="str">
        <x:f>IF(H20=1,"완료",IF(H20&gt;0,"진행 중","예정"))</x:f>
        <x:v>완료</x:v>
      </x:c>
      <x:c r="J20" s="38" t="str"/>
      <x:c r="K20" s="38" t="str"/>
      <x:c r="L20" s="37" t="str"/>
      <x:c r="M20" s="38" t="str"/>
    </x:row>
    <x:row r="21" ht="30" customHeight="1">
      <x:c r="A21" s="73" t="str">
        <x:v>개발</x:v>
      </x:c>
      <x:c r="B21" s="74" t="str">
        <x:v>공통</x:v>
      </x:c>
      <x:c r="C21" s="47" t="str">
        <x:v>Spring Boot 프로젝트 구조·공통 예외 처리 구성</x:v>
      </x:c>
      <x:c r="D21" s="59" t="str"/>
      <x:c r="E21" s="50" t="n">
        <x:v>46230</x:v>
      </x:c>
      <x:c r="F21" s="50" t="n">
        <x:v>46231</x:v>
      </x:c>
      <x:c r="G21" s="53" t="n">
        <x:f>F21-E21+1</x:f>
        <x:v>2</x:v>
      </x:c>
      <x:c r="H21" s="56" t="n">
        <x:v>1</x:v>
      </x:c>
      <x:c r="I21" s="70" t="str">
        <x:f>IF(H21=1,"완료",IF(H21&gt;0,"진행 중","예정"))</x:f>
        <x:v>완료</x:v>
      </x:c>
      <x:c r="J21" s="38" t="str"/>
      <x:c r="K21" s="38" t="str"/>
      <x:c r="L21" s="37" t="str"/>
      <x:c r="M21" s="38" t="str"/>
    </x:row>
    <x:row r="22" ht="30" customHeight="1">
      <x:c r="A22" s="73" t="str">
        <x:v>개발</x:v>
      </x:c>
      <x:c r="B22" s="74" t="str">
        <x:v>메인/상품</x:v>
      </x:c>
      <x:c r="C22" s="47" t="str">
        <x:v>메인 화면·상품 조회·검색·상세 팝업 구현</x:v>
      </x:c>
      <x:c r="D22" s="59" t="str"/>
      <x:c r="E22" s="50" t="n">
        <x:v>46230</x:v>
      </x:c>
      <x:c r="F22" s="50" t="n">
        <x:v>46233</x:v>
      </x:c>
      <x:c r="G22" s="53" t="n">
        <x:f>F22-E22+1</x:f>
        <x:v>4</x:v>
      </x:c>
      <x:c r="H22" s="56" t="n">
        <x:v>1</x:v>
      </x:c>
      <x:c r="I22" s="70" t="str">
        <x:f>IF(H22=1,"완료",IF(H22&gt;0,"진행 중","예정"))</x:f>
        <x:v>완료</x:v>
      </x:c>
      <x:c r="J22" s="38" t="str"/>
      <x:c r="K22" s="38" t="str"/>
      <x:c r="L22" s="37" t="str"/>
      <x:c r="M22" s="38" t="str"/>
    </x:row>
    <x:row r="23" ht="30" customHeight="1">
      <x:c r="A23" s="73" t="str">
        <x:v>개발</x:v>
      </x:c>
      <x:c r="B23" s="74" t="str">
        <x:v>회원</x:v>
      </x:c>
      <x:c r="C23" s="47" t="str">
        <x:v>회원가입·로그인·로그아웃·세션 처리 구현</x:v>
      </x:c>
      <x:c r="D23" s="59" t="str"/>
      <x:c r="E23" s="50" t="n">
        <x:v>46231</x:v>
      </x:c>
      <x:c r="F23" s="50" t="n">
        <x:v>46234</x:v>
      </x:c>
      <x:c r="G23" s="53" t="n">
        <x:f>F23-E23+1</x:f>
        <x:v>4</x:v>
      </x:c>
      <x:c r="H23" s="56" t="n">
        <x:v>1</x:v>
      </x:c>
      <x:c r="I23" s="70" t="str">
        <x:f>IF(H23=1,"완료",IF(H23&gt;0,"진행 중","예정"))</x:f>
        <x:v>완료</x:v>
      </x:c>
      <x:c r="J23" s="38" t="str"/>
      <x:c r="K23" s="38" t="str"/>
      <x:c r="L23" s="37" t="str"/>
      <x:c r="M23" s="37" t="str"/>
    </x:row>
    <x:row r="24" ht="30" customHeight="1">
      <x:c r="A24" s="73" t="str">
        <x:v>개발</x:v>
      </x:c>
      <x:c r="B24" s="74" t="str">
        <x:v>회원</x:v>
      </x:c>
      <x:c r="C24" s="47" t="str">
        <x:v>Google OAuth 로그인 및 마이페이지 구현</x:v>
      </x:c>
      <x:c r="D24" s="59" t="str"/>
      <x:c r="E24" s="50" t="n">
        <x:v>46233</x:v>
      </x:c>
      <x:c r="F24" s="50" t="n">
        <x:v>46237</x:v>
      </x:c>
      <x:c r="G24" s="53" t="n">
        <x:f>F24-E24+1</x:f>
        <x:v>5</x:v>
      </x:c>
      <x:c r="H24" s="56" t="n">
        <x:v>1</x:v>
      </x:c>
      <x:c r="I24" s="70" t="str">
        <x:f>IF(H24=1,"완료",IF(H24&gt;0,"진행 중","예정"))</x:f>
        <x:v>완료</x:v>
      </x:c>
      <x:c r="J24" s="38" t="str"/>
      <x:c r="K24" s="38" t="str"/>
      <x:c r="L24" s="37" t="str"/>
      <x:c r="M24" s="37" t="str"/>
    </x:row>
    <x:row r="25" ht="30" customHeight="1">
      <x:c r="A25" s="73" t="str">
        <x:v>개발</x:v>
      </x:c>
      <x:c r="B25" s="74" t="str">
        <x:v>직접 견적</x:v>
      </x:c>
      <x:c r="C25" s="47" t="str">
        <x:v>카테고리별 부품 선택·교체·수량·금액 계산 구현</x:v>
      </x:c>
      <x:c r="D25" s="59" t="str"/>
      <x:c r="E25" s="50" t="n">
        <x:v>46232</x:v>
      </x:c>
      <x:c r="F25" s="50" t="n">
        <x:v>46238</x:v>
      </x:c>
      <x:c r="G25" s="53" t="n">
        <x:f>F25-E25+1</x:f>
        <x:v>7</x:v>
      </x:c>
      <x:c r="H25" s="56" t="n">
        <x:v>1</x:v>
      </x:c>
      <x:c r="I25" s="70" t="str">
        <x:f>IF(H25=1,"완료",IF(H25&gt;0,"진행 중","예정"))</x:f>
        <x:v>완료</x:v>
      </x:c>
      <x:c r="J25" s="38" t="str"/>
      <x:c r="K25" s="38" t="str"/>
      <x:c r="L25" s="37" t="str"/>
      <x:c r="M25" s="37" t="str"/>
    </x:row>
    <x:row r="26" ht="30" customHeight="1">
      <x:c r="A26" s="73" t="str">
        <x:v>개발</x:v>
      </x:c>
      <x:c r="B26" s="74" t="str">
        <x:v>직접 견적</x:v>
      </x:c>
      <x:c r="C26" s="47" t="str">
        <x:v>소켓·RAM·폼팩터·GPU 길이·파워 호환성 검사</x:v>
      </x:c>
      <x:c r="D26" s="59" t="str"/>
      <x:c r="E26" s="50" t="n">
        <x:v>46234</x:v>
      </x:c>
      <x:c r="F26" s="50" t="n">
        <x:v>46241</x:v>
      </x:c>
      <x:c r="G26" s="53" t="n">
        <x:f>F26-E26+1</x:f>
        <x:v>8</x:v>
      </x:c>
      <x:c r="H26" s="56" t="n">
        <x:v>0.95</x:v>
      </x:c>
      <x:c r="I26" s="77" t="str">
        <x:f>IF(H26=1,"완료",IF(H26&gt;0,"진행 중","예정"))</x:f>
        <x:v>진행 중</x:v>
      </x:c>
      <x:c r="J26" s="38" t="str"/>
      <x:c r="K26" s="38" t="str"/>
      <x:c r="L26" s="38" t="str"/>
      <x:c r="M26" s="42" t="str"/>
    </x:row>
    <x:row r="27" ht="30" customHeight="1">
      <x:c r="A27" s="73" t="str">
        <x:v>개발</x:v>
      </x:c>
      <x:c r="B27" s="74" t="str">
        <x:v>추천 견적</x:v>
      </x:c>
      <x:c r="C27" s="47" t="str">
        <x:v>프리셋 목록·상세·필터·장바구니 연동 구현</x:v>
      </x:c>
      <x:c r="D27" s="59" t="str"/>
      <x:c r="E27" s="50" t="n">
        <x:v>46233</x:v>
      </x:c>
      <x:c r="F27" s="50" t="n">
        <x:v>46238</x:v>
      </x:c>
      <x:c r="G27" s="53" t="n">
        <x:f>F27-E27+1</x:f>
        <x:v>6</x:v>
      </x:c>
      <x:c r="H27" s="56" t="n">
        <x:v>1</x:v>
      </x:c>
      <x:c r="I27" s="70" t="str">
        <x:f>IF(H27=1,"완료",IF(H27&gt;0,"진행 중","예정"))</x:f>
        <x:v>완료</x:v>
      </x:c>
      <x:c r="J27" s="38" t="str"/>
      <x:c r="K27" s="38" t="str"/>
      <x:c r="L27" s="37" t="str"/>
      <x:c r="M27" s="37" t="str"/>
    </x:row>
    <x:row r="28" ht="30" customHeight="1">
      <x:c r="A28" s="73" t="str">
        <x:v>개발</x:v>
      </x:c>
      <x:c r="B28" s="74" t="str">
        <x:v>장바구니</x:v>
      </x:c>
      <x:c r="C28" s="47" t="str">
        <x:v>단일 상품·견적 단위 조회·수량 변경·삭제 구현</x:v>
      </x:c>
      <x:c r="D28" s="59" t="str"/>
      <x:c r="E28" s="50" t="n">
        <x:v>46235</x:v>
      </x:c>
      <x:c r="F28" s="50" t="n">
        <x:v>46239</x:v>
      </x:c>
      <x:c r="G28" s="53" t="n">
        <x:f>F28-E28+1</x:f>
        <x:v>5</x:v>
      </x:c>
      <x:c r="H28" s="56" t="n">
        <x:v>1</x:v>
      </x:c>
      <x:c r="I28" s="70" t="str">
        <x:f>IF(H28=1,"완료",IF(H28&gt;0,"진행 중","예정"))</x:f>
        <x:v>완료</x:v>
      </x:c>
      <x:c r="J28" s="38" t="str"/>
      <x:c r="K28" s="38" t="str"/>
      <x:c r="L28" s="38" t="str"/>
      <x:c r="M28" s="37" t="str"/>
    </x:row>
    <x:row r="29" ht="30" customHeight="1">
      <x:c r="A29" s="73" t="str">
        <x:v>개발</x:v>
      </x:c>
      <x:c r="B29" s="74" t="str">
        <x:v>AI 견적</x:v>
      </x:c>
      <x:c r="C29" s="47" t="str">
        <x:v>Gemini 연동·CSV 상품 전달·JSON 응답 파싱 구현</x:v>
      </x:c>
      <x:c r="D29" s="59" t="str"/>
      <x:c r="E29" s="50" t="n">
        <x:v>46235</x:v>
      </x:c>
      <x:c r="F29" s="50" t="n">
        <x:v>46240</x:v>
      </x:c>
      <x:c r="G29" s="53" t="n">
        <x:f>F29-E29+1</x:f>
        <x:v>6</x:v>
      </x:c>
      <x:c r="H29" s="56" t="n">
        <x:v>0.9</x:v>
      </x:c>
      <x:c r="I29" s="77" t="str">
        <x:f>IF(H29=1,"완료",IF(H29&gt;0,"진행 중","예정"))</x:f>
        <x:v>진행 중</x:v>
      </x:c>
      <x:c r="J29" s="38" t="str"/>
      <x:c r="K29" s="38" t="str"/>
      <x:c r="L29" s="38" t="str"/>
      <x:c r="M29" s="42" t="str"/>
    </x:row>
    <x:row r="30" ht="30" customHeight="1">
      <x:c r="A30" s="73" t="str">
        <x:v>개발</x:v>
      </x:c>
      <x:c r="B30" s="74" t="str">
        <x:v>AI 견적</x:v>
      </x:c>
      <x:c r="C30" s="47" t="str">
        <x:v>추천 상품 DB 검증·결과 저장·견적 수정 연동</x:v>
      </x:c>
      <x:c r="D30" s="59" t="str"/>
      <x:c r="E30" s="50" t="n">
        <x:v>46237</x:v>
      </x:c>
      <x:c r="F30" s="50" t="n">
        <x:v>46241</x:v>
      </x:c>
      <x:c r="G30" s="53" t="n">
        <x:f>F30-E30+1</x:f>
        <x:v>5</x:v>
      </x:c>
      <x:c r="H30" s="56" t="n">
        <x:v>0.9</x:v>
      </x:c>
      <x:c r="I30" s="77" t="str">
        <x:f>IF(H30=1,"완료",IF(H30&gt;0,"진행 중","예정"))</x:f>
        <x:v>진행 중</x:v>
      </x:c>
      <x:c r="J30" s="38" t="str"/>
      <x:c r="K30" s="38" t="str"/>
      <x:c r="L30" s="38" t="str"/>
      <x:c r="M30" s="42" t="str"/>
    </x:row>
    <x:row r="31" ht="30" customHeight="1">
      <x:c r="A31" s="73" t="str">
        <x:v>개발</x:v>
      </x:c>
      <x:c r="B31" s="74" t="str">
        <x:v>주문/결제</x:v>
      </x:c>
      <x:c r="C31" s="47" t="str">
        <x:v>주문서 생성·배송지·주문 스냅샷 저장 구현</x:v>
      </x:c>
      <x:c r="D31" s="59" t="str"/>
      <x:c r="E31" s="50" t="n">
        <x:v>46237</x:v>
      </x:c>
      <x:c r="F31" s="50" t="n">
        <x:v>46240</x:v>
      </x:c>
      <x:c r="G31" s="53" t="n">
        <x:f>F31-E31+1</x:f>
        <x:v>4</x:v>
      </x:c>
      <x:c r="H31" s="56" t="n">
        <x:v>0.9</x:v>
      </x:c>
      <x:c r="I31" s="77" t="str">
        <x:f>IF(H31=1,"완료",IF(H31&gt;0,"진행 중","예정"))</x:f>
        <x:v>진행 중</x:v>
      </x:c>
      <x:c r="J31" s="38" t="str"/>
      <x:c r="K31" s="38" t="str"/>
      <x:c r="L31" s="38" t="str"/>
      <x:c r="M31" s="42" t="str"/>
    </x:row>
    <x:row r="32" ht="30" customHeight="1">
      <x:c r="A32" s="73" t="str">
        <x:v>개발</x:v>
      </x:c>
      <x:c r="B32" s="74" t="str">
        <x:v>주문/결제</x:v>
      </x:c>
      <x:c r="C32" s="47" t="str">
        <x:v>Toss 결제 승인·실패·중복 결제 처리 구현</x:v>
      </x:c>
      <x:c r="D32" s="59" t="str"/>
      <x:c r="E32" s="50" t="n">
        <x:v>46238</x:v>
      </x:c>
      <x:c r="F32" s="50" t="n">
        <x:v>46241</x:v>
      </x:c>
      <x:c r="G32" s="53" t="n">
        <x:f>F32-E32+1</x:f>
        <x:v>4</x:v>
      </x:c>
      <x:c r="H32" s="56" t="n">
        <x:v>0.9</x:v>
      </x:c>
      <x:c r="I32" s="77" t="str">
        <x:f>IF(H32=1,"완료",IF(H32&gt;0,"진행 중","예정"))</x:f>
        <x:v>진행 중</x:v>
      </x:c>
      <x:c r="J32" s="38" t="str"/>
      <x:c r="K32" s="38" t="str"/>
      <x:c r="L32" s="38" t="str"/>
      <x:c r="M32" s="42" t="str"/>
    </x:row>
    <x:row r="33" ht="30" customHeight="1">
      <x:c r="A33" s="73" t="str">
        <x:v>개발</x:v>
      </x:c>
      <x:c r="B33" s="74" t="str">
        <x:v>관리자</x:v>
      </x:c>
      <x:c r="C33" s="47" t="str">
        <x:v>상품·회원·주문 관리 기능 통합</x:v>
      </x:c>
      <x:c r="D33" s="59" t="str"/>
      <x:c r="E33" s="50" t="n">
        <x:v>46238</x:v>
      </x:c>
      <x:c r="F33" s="50" t="n">
        <x:v>46241</x:v>
      </x:c>
      <x:c r="G33" s="53" t="n">
        <x:f>F33-E33+1</x:f>
        <x:v>4</x:v>
      </x:c>
      <x:c r="H33" s="56" t="n">
        <x:v>0.85</x:v>
      </x:c>
      <x:c r="I33" s="77" t="str">
        <x:f>IF(H33=1,"완료",IF(H33&gt;0,"진행 중","예정"))</x:f>
        <x:v>진행 중</x:v>
      </x:c>
      <x:c r="J33" s="38" t="str"/>
      <x:c r="K33" s="38" t="str"/>
      <x:c r="L33" s="38" t="str"/>
      <x:c r="M33" s="42" t="str"/>
    </x:row>
    <x:row r="34" ht="30" customHeight="1">
      <x:c r="A34" s="73" t="str">
        <x:v>개발</x:v>
      </x:c>
      <x:c r="B34" s="74" t="str">
        <x:v>테스트</x:v>
      </x:c>
      <x:c r="C34" s="47" t="str">
        <x:v>핵심 사용자 흐름 및 기능 통합 테스트</x:v>
      </x:c>
      <x:c r="D34" s="59" t="str"/>
      <x:c r="E34" s="50" t="n">
        <x:v>46239</x:v>
      </x:c>
      <x:c r="F34" s="50" t="n">
        <x:v>46241</x:v>
      </x:c>
      <x:c r="G34" s="53" t="n">
        <x:f>F34-E34+1</x:f>
        <x:v>3</x:v>
      </x:c>
      <x:c r="H34" s="56" t="n">
        <x:v>0.75</x:v>
      </x:c>
      <x:c r="I34" s="77" t="str">
        <x:f>IF(H34=1,"완료",IF(H34&gt;0,"진행 중","예정"))</x:f>
        <x:v>진행 중</x:v>
      </x:c>
      <x:c r="J34" s="38" t="str"/>
      <x:c r="K34" s="38" t="str"/>
      <x:c r="L34" s="38" t="str"/>
      <x:c r="M34" s="42" t="str"/>
    </x:row>
    <x:row r="35" ht="30" customHeight="1">
      <x:c r="A35" s="78" t="str">
        <x:v>개발</x:v>
      </x:c>
      <x:c r="B35" s="79" t="str">
        <x:v>문서화</x:v>
      </x:c>
      <x:c r="C35" s="48" t="str">
        <x:v>기획안·WBS·프로젝트 수행 내용 정리</x:v>
      </x:c>
      <x:c r="D35" s="60" t="str"/>
      <x:c r="E35" s="51" t="n">
        <x:v>46240</x:v>
      </x:c>
      <x:c r="F35" s="51" t="n">
        <x:v>46241</x:v>
      </x:c>
      <x:c r="G35" s="54" t="n">
        <x:f>F35-E35+1</x:f>
        <x:v>2</x:v>
      </x:c>
      <x:c r="H35" s="57" t="n">
        <x:v>0.6</x:v>
      </x:c>
      <x:c r="I35" s="82" t="str">
        <x:f>IF(H35=1,"완료",IF(H35&gt;0,"진행 중","예정"))</x:f>
        <x:v>진행 중</x:v>
      </x:c>
      <x:c r="J35" s="38" t="str"/>
      <x:c r="K35" s="38" t="str"/>
      <x:c r="L35" s="38" t="str"/>
      <x:c r="M35" s="42" t="str"/>
    </x:row>
    <x:row r="38">
      <x:c r="A38" s="85" t="str">
        <x:v>범례  ■ 완료  ■ 진행 중  ■ 예정  |  담당자 열은 직접 입력할 수 있습니다.</x:v>
      </x:c>
    </x:row>
  </x:sheetData>
  <x:mergeCells>
    <x:mergeCell ref="A1:M1"/>
    <x:mergeCell ref="A2:M2"/>
    <x:mergeCell ref="A4:B4"/>
    <x:mergeCell ref="E4:F4"/>
    <x:mergeCell ref="I4:J4"/>
    <x:mergeCell ref="A38:M38"/>
  </x:mergeCells>
  <x:dataValidations count="1">
    <x:dataValidation type="list" sqref="D7:D35">
      <x:formula1>"공동,팀장,팀원"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42" hidden="0" customWidth="1"/>
    <x:col min="4" max="4" width="10" hidden="0" customWidth="1"/>
    <x:col min="5" max="5" width="12" hidden="0" customWidth="1"/>
    <x:col min="6" max="6" width="12" hidden="0" customWidth="1"/>
    <x:col min="7" max="7" width="9" hidden="0" customWidth="1"/>
    <x:col min="8" max="8" width="11" hidden="0" customWidth="1"/>
    <x:col min="9" max="9" width="5" hidden="0" customWidth="1"/>
    <x:col min="10" max="10" width="5" hidden="0" customWidth="1"/>
    <x:col min="11" max="11" width="5" hidden="0" customWidth="1"/>
    <x:col min="12" max="12" width="5" hidden="0" customWidth="1"/>
    <x:col min="13" max="13" width="5" hidden="0" customWidth="1"/>
    <x:col min="14" max="14" width="5" hidden="0" customWidth="1"/>
    <x:col min="15" max="15" width="5" hidden="0" customWidth="1"/>
    <x:col min="16" max="16" width="5" hidden="0" customWidth="1"/>
    <x:col min="17" max="17" width="5" hidden="0" customWidth="1"/>
    <x:col min="18" max="18" width="5" hidden="0" customWidth="1"/>
    <x:col min="19" max="19" width="5" hidden="0" customWidth="1"/>
    <x:col min="20" max="20" width="5" hidden="0" customWidth="1"/>
    <x:col min="21" max="21" width="5" hidden="0" customWidth="1"/>
    <x:col min="22" max="22" width="5" hidden="0" customWidth="1"/>
    <x:col min="23" max="23" width="5" hidden="0" customWidth="1"/>
    <x:col min="24" max="24" width="5" hidden="0" customWidth="1"/>
    <x:col min="25" max="25" width="5" hidden="0" customWidth="1"/>
    <x:col min="26" max="26" width="5" hidden="0" customWidth="1"/>
    <x:col min="27" max="27" width="5" hidden="0" customWidth="1"/>
    <x:col min="28" max="28" width="5" hidden="0" customWidth="1"/>
    <x:col min="29" max="29" width="5" hidden="0" customWidth="1"/>
  </x:cols>
  <x:sheetData>
    <x:row r="1" ht="30" customHeight="1">
      <x:c r="A1" s="92" t="str">
        <x:v>COMPICK WBS | 기획·설계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92"/>
      <x:c r="P1" s="92"/>
      <x:c r="Q1" s="92"/>
      <x:c r="R1" s="92"/>
      <x:c r="S1" s="92"/>
      <x:c r="T1" s="92"/>
      <x:c r="U1" s="92"/>
      <x:c r="V1" s="92"/>
      <x:c r="W1" s="92"/>
      <x:c r="X1" s="92"/>
      <x:c r="Y1" s="92"/>
      <x:c r="Z1" s="92"/>
      <x:c r="AA1" s="92"/>
      <x:c r="AB1" s="92"/>
      <x:c r="AC1" s="92"/>
    </x:row>
    <x:row r="2" ht="22" customHeight="1">
      <x:c r="A2" s="95" t="str">
        <x:v>기준 기간 2026-07-10 ~ 2026-08-07  ·  녹색=완료 / 주황=진행 중 / 회색=예정</x:v>
      </x:c>
      <x:c r="B2" s="95"/>
      <x:c r="C2" s="95"/>
      <x:c r="D2" s="95"/>
      <x:c r="E2" s="95"/>
      <x:c r="F2" s="95"/>
      <x:c r="G2" s="95"/>
      <x:c r="H2" s="95"/>
      <x:c r="I2" s="95"/>
      <x:c r="J2" s="95"/>
      <x:c r="K2" s="95"/>
      <x:c r="L2" s="95"/>
      <x:c r="M2" s="95"/>
      <x:c r="N2" s="95"/>
      <x:c r="O2" s="95"/>
      <x:c r="P2" s="95"/>
      <x:c r="Q2" s="95"/>
      <x:c r="R2" s="95"/>
      <x:c r="S2" s="95"/>
      <x:c r="T2" s="95"/>
      <x:c r="U2" s="95"/>
      <x:c r="V2" s="95"/>
      <x:c r="W2" s="95"/>
      <x:c r="X2" s="95"/>
      <x:c r="Y2" s="95"/>
      <x:c r="Z2" s="95"/>
      <x:c r="AA2" s="95"/>
      <x:c r="AB2" s="95"/>
      <x:c r="AC2" s="95"/>
    </x:row>
    <x:row r="4" ht="26" customHeight="1">
      <x:c r="A4" s="100" t="str">
        <x:v>업무 정보</x:v>
      </x:c>
      <x:c r="B4" s="100"/>
      <x:c r="C4" s="100"/>
      <x:c r="D4" s="100"/>
      <x:c r="E4" s="100"/>
      <x:c r="F4" s="100"/>
      <x:c r="G4" s="100"/>
      <x:c r="H4" s="100"/>
      <x:c r="I4" s="100" t="str">
        <x:v>1주차  7/10~7/16</x:v>
      </x:c>
      <x:c r="J4" s="100"/>
      <x:c r="K4" s="100"/>
      <x:c r="L4" s="100"/>
      <x:c r="M4" s="100"/>
      <x:c r="N4" s="100" t="str">
        <x:v>2주차  7/17~7/23</x:v>
      </x:c>
      <x:c r="O4" s="100"/>
      <x:c r="P4" s="100"/>
      <x:c r="Q4" s="100"/>
      <x:c r="R4" s="100"/>
      <x:c r="S4" s="100" t="str">
        <x:v>3주차  7/24~7/30</x:v>
      </x:c>
      <x:c r="T4" s="100"/>
      <x:c r="U4" s="100"/>
      <x:c r="V4" s="100"/>
      <x:c r="W4" s="100"/>
      <x:c r="X4" s="100" t="str">
        <x:v>4주차  7/31~8/07</x:v>
      </x:c>
      <x:c r="Y4" s="100"/>
      <x:c r="Z4" s="100"/>
      <x:c r="AA4" s="100"/>
      <x:c r="AB4" s="100"/>
      <x:c r="AC4" s="100"/>
    </x:row>
    <x:row r="5" ht="26" customHeight="1">
      <x:c r="A5" s="106" t="str">
        <x:v>단계</x:v>
      </x:c>
      <x:c r="B5" s="106" t="str">
        <x:v>구분</x:v>
      </x:c>
      <x:c r="C5" s="106" t="str">
        <x:v>세부 작업</x:v>
      </x:c>
      <x:c r="D5" s="106" t="str">
        <x:v>담당자</x:v>
      </x:c>
      <x:c r="E5" s="106" t="str">
        <x:v>시작일</x:v>
      </x:c>
      <x:c r="F5" s="106" t="str">
        <x:v>종료일</x:v>
      </x:c>
      <x:c r="G5" s="106" t="str">
        <x:v>완료율</x:v>
      </x:c>
      <x:c r="H5" s="106" t="str">
        <x:v>상태</x:v>
      </x:c>
      <x:c r="I5" s="145" t="n">
        <x:v>46213</x:v>
      </x:c>
      <x:c r="J5" s="145" t="n">
        <x:v>46216</x:v>
      </x:c>
      <x:c r="K5" s="145" t="n">
        <x:v>46217</x:v>
      </x:c>
      <x:c r="L5" s="145" t="n">
        <x:v>46218</x:v>
      </x:c>
      <x:c r="M5" s="145" t="n">
        <x:v>46219</x:v>
      </x:c>
      <x:c r="N5" s="145" t="n">
        <x:v>46220</x:v>
      </x:c>
      <x:c r="O5" s="145" t="n">
        <x:v>46223</x:v>
      </x:c>
      <x:c r="P5" s="145" t="n">
        <x:v>46224</x:v>
      </x:c>
      <x:c r="Q5" s="145" t="n">
        <x:v>46225</x:v>
      </x:c>
      <x:c r="R5" s="145" t="n">
        <x:v>46226</x:v>
      </x:c>
      <x:c r="S5" s="145" t="n">
        <x:v>46227</x:v>
      </x:c>
      <x:c r="T5" s="145" t="n">
        <x:v>46230</x:v>
      </x:c>
      <x:c r="U5" s="145" t="n">
        <x:v>46231</x:v>
      </x:c>
      <x:c r="V5" s="145" t="n">
        <x:v>46232</x:v>
      </x:c>
      <x:c r="W5" s="145" t="n">
        <x:v>46233</x:v>
      </x:c>
      <x:c r="X5" s="145" t="n">
        <x:v>46234</x:v>
      </x:c>
      <x:c r="Y5" s="145" t="n">
        <x:v>46237</x:v>
      </x:c>
      <x:c r="Z5" s="145" t="n">
        <x:v>46238</x:v>
      </x:c>
      <x:c r="AA5" s="145" t="n">
        <x:v>46239</x:v>
      </x:c>
      <x:c r="AB5" s="145" t="n">
        <x:v>46240</x:v>
      </x:c>
      <x:c r="AC5" s="145" t="n">
        <x:v>46241</x:v>
      </x:c>
    </x:row>
    <x:row r="6" ht="28" customHeight="1">
      <x:c r="A6" s="127" t="str">
        <x:v>기획</x:v>
      </x:c>
      <x:c r="B6" s="128" t="str">
        <x:v>프로젝트</x:v>
      </x:c>
      <x:c r="C6" s="136" t="str">
        <x:v>서비스 목표·범위·핵심 사용자 정의</x:v>
      </x:c>
      <x:c r="D6" s="133" t="str"/>
      <x:c r="E6" s="139" t="n">
        <x:v>46213</x:v>
      </x:c>
      <x:c r="F6" s="139" t="n">
        <x:v>46213</x:v>
      </x:c>
      <x:c r="G6" s="142" t="n">
        <x:v>1</x:v>
      </x:c>
      <x:c r="H6" s="118" t="str">
        <x:f>IF(G6=1,"완료",IF(G6&gt;0,"진행 중","예정"))</x:f>
        <x:v>완료</x:v>
      </x:c>
      <x:c r="I6" s="119" t="str"/>
      <x:c r="J6" s="120" t="str"/>
      <x:c r="K6" s="120" t="str"/>
      <x:c r="L6" s="120" t="str"/>
      <x:c r="M6" s="120" t="str"/>
      <x:c r="N6" s="120" t="str"/>
      <x:c r="O6" s="120" t="str"/>
      <x:c r="P6" s="120" t="str"/>
      <x:c r="Q6" s="120" t="str"/>
      <x:c r="R6" s="120" t="str"/>
      <x:c r="S6" s="120" t="str"/>
      <x:c r="T6" s="120" t="str"/>
      <x:c r="U6" s="120" t="str"/>
      <x:c r="V6" s="120" t="str"/>
      <x:c r="W6" s="120" t="str"/>
      <x:c r="X6" s="120" t="str"/>
      <x:c r="Y6" s="120" t="str"/>
      <x:c r="Z6" s="120" t="str"/>
      <x:c r="AA6" s="120" t="str"/>
      <x:c r="AB6" s="120" t="str"/>
      <x:c r="AC6" s="120" t="str"/>
    </x:row>
    <x:row r="7" ht="28" customHeight="1">
      <x:c r="A7" s="129" t="str">
        <x:v>기획</x:v>
      </x:c>
      <x:c r="B7" s="130" t="str">
        <x:v>프로젝트</x:v>
      </x:c>
      <x:c r="C7" s="137" t="str">
        <x:v>역할 분담·Git 브랜치·협업 규칙 수립</x:v>
      </x:c>
      <x:c r="D7" s="134" t="str"/>
      <x:c r="E7" s="140" t="n">
        <x:v>46213</x:v>
      </x:c>
      <x:c r="F7" s="140" t="n">
        <x:v>46216</x:v>
      </x:c>
      <x:c r="G7" s="143" t="n">
        <x:v>1</x:v>
      </x:c>
      <x:c r="H7" s="123" t="str">
        <x:f>IF(G7=1,"완료",IF(G7&gt;0,"진행 중","예정"))</x:f>
        <x:v>완료</x:v>
      </x:c>
      <x:c r="I7" s="119" t="str"/>
      <x:c r="J7" s="119" t="str"/>
      <x:c r="K7" s="120" t="str"/>
      <x:c r="L7" s="120" t="str"/>
      <x:c r="M7" s="120" t="str"/>
      <x:c r="N7" s="120" t="str"/>
      <x:c r="O7" s="120" t="str"/>
      <x:c r="P7" s="120" t="str"/>
      <x:c r="Q7" s="120" t="str"/>
      <x:c r="R7" s="120" t="str"/>
      <x:c r="S7" s="120" t="str"/>
      <x:c r="T7" s="120" t="str"/>
      <x:c r="U7" s="120" t="str"/>
      <x:c r="V7" s="120" t="str"/>
      <x:c r="W7" s="120" t="str"/>
      <x:c r="X7" s="120" t="str"/>
      <x:c r="Y7" s="120" t="str"/>
      <x:c r="Z7" s="120" t="str"/>
      <x:c r="AA7" s="120" t="str"/>
      <x:c r="AB7" s="120" t="str"/>
      <x:c r="AC7" s="120" t="str"/>
    </x:row>
    <x:row r="8" ht="28" customHeight="1">
      <x:c r="A8" s="129" t="str">
        <x:v>기획</x:v>
      </x:c>
      <x:c r="B8" s="130" t="str">
        <x:v>요구사항</x:v>
      </x:c>
      <x:c r="C8" s="137" t="str">
        <x:v>회원·상품·견적·구매 사용자 흐름 정의</x:v>
      </x:c>
      <x:c r="D8" s="134" t="str"/>
      <x:c r="E8" s="140" t="n">
        <x:v>46216</x:v>
      </x:c>
      <x:c r="F8" s="140" t="n">
        <x:v>46219</x:v>
      </x:c>
      <x:c r="G8" s="143" t="n">
        <x:v>1</x:v>
      </x:c>
      <x:c r="H8" s="123" t="str">
        <x:f>IF(G8=1,"완료",IF(G8&gt;0,"진행 중","예정"))</x:f>
        <x:v>완료</x:v>
      </x:c>
      <x:c r="I8" s="120" t="str"/>
      <x:c r="J8" s="119" t="str"/>
      <x:c r="K8" s="119" t="str"/>
      <x:c r="L8" s="119" t="str"/>
      <x:c r="M8" s="119" t="str"/>
      <x:c r="N8" s="120" t="str"/>
      <x:c r="O8" s="120" t="str"/>
      <x:c r="P8" s="120" t="str"/>
      <x:c r="Q8" s="120" t="str"/>
      <x:c r="R8" s="120" t="str"/>
      <x:c r="S8" s="120" t="str"/>
      <x:c r="T8" s="120" t="str"/>
      <x:c r="U8" s="120" t="str"/>
      <x:c r="V8" s="120" t="str"/>
      <x:c r="W8" s="120" t="str"/>
      <x:c r="X8" s="120" t="str"/>
      <x:c r="Y8" s="120" t="str"/>
      <x:c r="Z8" s="120" t="str"/>
      <x:c r="AA8" s="120" t="str"/>
      <x:c r="AB8" s="120" t="str"/>
      <x:c r="AC8" s="120" t="str"/>
    </x:row>
    <x:row r="9" ht="28" customHeight="1">
      <x:c r="A9" s="129" t="str">
        <x:v>기획</x:v>
      </x:c>
      <x:c r="B9" s="130" t="str">
        <x:v>데이터</x:v>
      </x:c>
      <x:c r="C9" s="137" t="str">
        <x:v>상품 데이터 수집·정제·분류 기준 수립</x:v>
      </x:c>
      <x:c r="D9" s="134" t="str"/>
      <x:c r="E9" s="140" t="n">
        <x:v>46217</x:v>
      </x:c>
      <x:c r="F9" s="140" t="n">
        <x:v>46219</x:v>
      </x:c>
      <x:c r="G9" s="143" t="n">
        <x:v>1</x:v>
      </x:c>
      <x:c r="H9" s="123" t="str">
        <x:f>IF(G9=1,"완료",IF(G9&gt;0,"진행 중","예정"))</x:f>
        <x:v>완료</x:v>
      </x:c>
      <x:c r="I9" s="120" t="str"/>
      <x:c r="J9" s="120" t="str"/>
      <x:c r="K9" s="119" t="str"/>
      <x:c r="L9" s="119" t="str"/>
      <x:c r="M9" s="119" t="str"/>
      <x:c r="N9" s="120" t="str"/>
      <x:c r="O9" s="120" t="str"/>
      <x:c r="P9" s="120" t="str"/>
      <x:c r="Q9" s="120" t="str"/>
      <x:c r="R9" s="120" t="str"/>
      <x:c r="S9" s="120" t="str"/>
      <x:c r="T9" s="120" t="str"/>
      <x:c r="U9" s="120" t="str"/>
      <x:c r="V9" s="120" t="str"/>
      <x:c r="W9" s="120" t="str"/>
      <x:c r="X9" s="120" t="str"/>
      <x:c r="Y9" s="120" t="str"/>
      <x:c r="Z9" s="120" t="str"/>
      <x:c r="AA9" s="120" t="str"/>
      <x:c r="AB9" s="120" t="str"/>
      <x:c r="AC9" s="120" t="str"/>
    </x:row>
    <x:row r="10" ht="28" customHeight="1">
      <x:c r="A10" s="129" t="str">
        <x:v>기획</x:v>
      </x:c>
      <x:c r="B10" s="130" t="str">
        <x:v>AI</x:v>
      </x:c>
      <x:c r="C10" s="137" t="str">
        <x:v>LLM 입력·출력 규격과 추천 응답 구조 정의</x:v>
      </x:c>
      <x:c r="D10" s="134" t="str"/>
      <x:c r="E10" s="140" t="n">
        <x:v>46218</x:v>
      </x:c>
      <x:c r="F10" s="140" t="n">
        <x:v>46220</x:v>
      </x:c>
      <x:c r="G10" s="143" t="n">
        <x:v>1</x:v>
      </x:c>
      <x:c r="H10" s="123" t="str">
        <x:f>IF(G10=1,"완료",IF(G10&gt;0,"진행 중","예정"))</x:f>
        <x:v>완료</x:v>
      </x:c>
      <x:c r="I10" s="120" t="str"/>
      <x:c r="J10" s="120" t="str"/>
      <x:c r="K10" s="120" t="str"/>
      <x:c r="L10" s="119" t="str"/>
      <x:c r="M10" s="119" t="str"/>
      <x:c r="N10" s="119" t="str"/>
      <x:c r="O10" s="120" t="str"/>
      <x:c r="P10" s="120" t="str"/>
      <x:c r="Q10" s="120" t="str"/>
      <x:c r="R10" s="120" t="str"/>
      <x:c r="S10" s="120" t="str"/>
      <x:c r="T10" s="120" t="str"/>
      <x:c r="U10" s="120" t="str"/>
      <x:c r="V10" s="120" t="str"/>
      <x:c r="W10" s="120" t="str"/>
      <x:c r="X10" s="120" t="str"/>
      <x:c r="Y10" s="120" t="str"/>
      <x:c r="Z10" s="120" t="str"/>
      <x:c r="AA10" s="120" t="str"/>
      <x:c r="AB10" s="120" t="str"/>
      <x:c r="AC10" s="120" t="str"/>
    </x:row>
    <x:row r="11" ht="28" customHeight="1">
      <x:c r="A11" s="129" t="str">
        <x:v>설계</x:v>
      </x:c>
      <x:c r="B11" s="130" t="str">
        <x:v>UI/UX</x:v>
      </x:c>
      <x:c r="C11" s="137" t="str">
        <x:v>공통 레이아웃·색상·컴포넌트 설계</x:v>
      </x:c>
      <x:c r="D11" s="134" t="str"/>
      <x:c r="E11" s="140" t="n">
        <x:v>46217</x:v>
      </x:c>
      <x:c r="F11" s="140" t="n">
        <x:v>46220</x:v>
      </x:c>
      <x:c r="G11" s="143" t="n">
        <x:v>1</x:v>
      </x:c>
      <x:c r="H11" s="123" t="str">
        <x:f>IF(G11=1,"완료",IF(G11&gt;0,"진행 중","예정"))</x:f>
        <x:v>완료</x:v>
      </x:c>
      <x:c r="I11" s="120" t="str"/>
      <x:c r="J11" s="120" t="str"/>
      <x:c r="K11" s="119" t="str"/>
      <x:c r="L11" s="119" t="str"/>
      <x:c r="M11" s="119" t="str"/>
      <x:c r="N11" s="119" t="str"/>
      <x:c r="O11" s="120" t="str"/>
      <x:c r="P11" s="120" t="str"/>
      <x:c r="Q11" s="120" t="str"/>
      <x:c r="R11" s="120" t="str"/>
      <x:c r="S11" s="120" t="str"/>
      <x:c r="T11" s="120" t="str"/>
      <x:c r="U11" s="120" t="str"/>
      <x:c r="V11" s="120" t="str"/>
      <x:c r="W11" s="120" t="str"/>
      <x:c r="X11" s="120" t="str"/>
      <x:c r="Y11" s="120" t="str"/>
      <x:c r="Z11" s="120" t="str"/>
      <x:c r="AA11" s="120" t="str"/>
      <x:c r="AB11" s="120" t="str"/>
      <x:c r="AC11" s="120" t="str"/>
    </x:row>
    <x:row r="12" ht="28" customHeight="1">
      <x:c r="A12" s="129" t="str">
        <x:v>설계</x:v>
      </x:c>
      <x:c r="B12" s="130" t="str">
        <x:v>UI/UX</x:v>
      </x:c>
      <x:c r="C12" s="137" t="str">
        <x:v>메인·상품·회원 화면 와이어프레임</x:v>
      </x:c>
      <x:c r="D12" s="134" t="str"/>
      <x:c r="E12" s="140" t="n">
        <x:v>46218</x:v>
      </x:c>
      <x:c r="F12" s="140" t="n">
        <x:v>46223</x:v>
      </x:c>
      <x:c r="G12" s="143" t="n">
        <x:v>1</x:v>
      </x:c>
      <x:c r="H12" s="123" t="str">
        <x:f>IF(G12=1,"완료",IF(G12&gt;0,"진행 중","예정"))</x:f>
        <x:v>완료</x:v>
      </x:c>
      <x:c r="I12" s="120" t="str"/>
      <x:c r="J12" s="120" t="str"/>
      <x:c r="K12" s="120" t="str"/>
      <x:c r="L12" s="119" t="str"/>
      <x:c r="M12" s="119" t="str"/>
      <x:c r="N12" s="119" t="str"/>
      <x:c r="O12" s="119" t="str"/>
      <x:c r="P12" s="120" t="str"/>
      <x:c r="Q12" s="120" t="str"/>
      <x:c r="R12" s="120" t="str"/>
      <x:c r="S12" s="120" t="str"/>
      <x:c r="T12" s="120" t="str"/>
      <x:c r="U12" s="120" t="str"/>
      <x:c r="V12" s="120" t="str"/>
      <x:c r="W12" s="120" t="str"/>
      <x:c r="X12" s="120" t="str"/>
      <x:c r="Y12" s="120" t="str"/>
      <x:c r="Z12" s="120" t="str"/>
      <x:c r="AA12" s="120" t="str"/>
      <x:c r="AB12" s="120" t="str"/>
      <x:c r="AC12" s="120" t="str"/>
    </x:row>
    <x:row r="13" ht="28" customHeight="1">
      <x:c r="A13" s="129" t="str">
        <x:v>설계</x:v>
      </x:c>
      <x:c r="B13" s="130" t="str">
        <x:v>UI/UX</x:v>
      </x:c>
      <x:c r="C13" s="137" t="str">
        <x:v>직접 견적·추천 견적 화면 설계</x:v>
      </x:c>
      <x:c r="D13" s="134" t="str"/>
      <x:c r="E13" s="140" t="n">
        <x:v>46220</x:v>
      </x:c>
      <x:c r="F13" s="140" t="n">
        <x:v>46224</x:v>
      </x:c>
      <x:c r="G13" s="143" t="n">
        <x:v>1</x:v>
      </x:c>
      <x:c r="H13" s="123" t="str">
        <x:f>IF(G13=1,"완료",IF(G13&gt;0,"진행 중","예정"))</x:f>
        <x:v>완료</x:v>
      </x:c>
      <x:c r="I13" s="120" t="str"/>
      <x:c r="J13" s="120" t="str"/>
      <x:c r="K13" s="120" t="str"/>
      <x:c r="L13" s="120" t="str"/>
      <x:c r="M13" s="120" t="str"/>
      <x:c r="N13" s="119" t="str"/>
      <x:c r="O13" s="119" t="str"/>
      <x:c r="P13" s="119" t="str"/>
      <x:c r="Q13" s="120" t="str"/>
      <x:c r="R13" s="120" t="str"/>
      <x:c r="S13" s="120" t="str"/>
      <x:c r="T13" s="120" t="str"/>
      <x:c r="U13" s="120" t="str"/>
      <x:c r="V13" s="120" t="str"/>
      <x:c r="W13" s="120" t="str"/>
      <x:c r="X13" s="120" t="str"/>
      <x:c r="Y13" s="120" t="str"/>
      <x:c r="Z13" s="120" t="str"/>
      <x:c r="AA13" s="120" t="str"/>
      <x:c r="AB13" s="120" t="str"/>
      <x:c r="AC13" s="120" t="str"/>
    </x:row>
    <x:row r="14" ht="28" customHeight="1">
      <x:c r="A14" s="129" t="str">
        <x:v>설계</x:v>
      </x:c>
      <x:c r="B14" s="130" t="str">
        <x:v>UI/UX</x:v>
      </x:c>
      <x:c r="C14" s="137" t="str">
        <x:v>AI 견적 입력·로딩·결과 화면 설계</x:v>
      </x:c>
      <x:c r="D14" s="134" t="str"/>
      <x:c r="E14" s="140" t="n">
        <x:v>46222</x:v>
      </x:c>
      <x:c r="F14" s="140" t="n">
        <x:v>46225</x:v>
      </x:c>
      <x:c r="G14" s="143" t="n">
        <x:v>1</x:v>
      </x:c>
      <x:c r="H14" s="123" t="str">
        <x:f>IF(G14=1,"완료",IF(G14&gt;0,"진행 중","예정"))</x:f>
        <x:v>완료</x:v>
      </x:c>
      <x:c r="I14" s="120" t="str"/>
      <x:c r="J14" s="120" t="str"/>
      <x:c r="K14" s="120" t="str"/>
      <x:c r="L14" s="120" t="str"/>
      <x:c r="M14" s="120" t="str"/>
      <x:c r="N14" s="120" t="str"/>
      <x:c r="O14" s="119" t="str"/>
      <x:c r="P14" s="119" t="str"/>
      <x:c r="Q14" s="119" t="str"/>
      <x:c r="R14" s="120" t="str"/>
      <x:c r="S14" s="120" t="str"/>
      <x:c r="T14" s="120" t="str"/>
      <x:c r="U14" s="120" t="str"/>
      <x:c r="V14" s="120" t="str"/>
      <x:c r="W14" s="120" t="str"/>
      <x:c r="X14" s="120" t="str"/>
      <x:c r="Y14" s="120" t="str"/>
      <x:c r="Z14" s="120" t="str"/>
      <x:c r="AA14" s="120" t="str"/>
      <x:c r="AB14" s="120" t="str"/>
      <x:c r="AC14" s="120" t="str"/>
    </x:row>
    <x:row r="15" ht="28" customHeight="1">
      <x:c r="A15" s="129" t="str">
        <x:v>설계</x:v>
      </x:c>
      <x:c r="B15" s="130" t="str">
        <x:v>UI/UX</x:v>
      </x:c>
      <x:c r="C15" s="137" t="str">
        <x:v>장바구니·주문·결제 화면 설계</x:v>
      </x:c>
      <x:c r="D15" s="134" t="str"/>
      <x:c r="E15" s="140" t="n">
        <x:v>46223</x:v>
      </x:c>
      <x:c r="F15" s="140" t="n">
        <x:v>46226</x:v>
      </x:c>
      <x:c r="G15" s="143" t="n">
        <x:v>1</x:v>
      </x:c>
      <x:c r="H15" s="123" t="str">
        <x:f>IF(G15=1,"완료",IF(G15&gt;0,"진행 중","예정"))</x:f>
        <x:v>완료</x:v>
      </x:c>
      <x:c r="I15" s="120" t="str"/>
      <x:c r="J15" s="120" t="str"/>
      <x:c r="K15" s="120" t="str"/>
      <x:c r="L15" s="120" t="str"/>
      <x:c r="M15" s="120" t="str"/>
      <x:c r="N15" s="120" t="str"/>
      <x:c r="O15" s="119" t="str"/>
      <x:c r="P15" s="119" t="str"/>
      <x:c r="Q15" s="119" t="str"/>
      <x:c r="R15" s="119" t="str"/>
      <x:c r="S15" s="120" t="str"/>
      <x:c r="T15" s="120" t="str"/>
      <x:c r="U15" s="120" t="str"/>
      <x:c r="V15" s="120" t="str"/>
      <x:c r="W15" s="120" t="str"/>
      <x:c r="X15" s="120" t="str"/>
      <x:c r="Y15" s="120" t="str"/>
      <x:c r="Z15" s="120" t="str"/>
      <x:c r="AA15" s="120" t="str"/>
      <x:c r="AB15" s="120" t="str"/>
      <x:c r="AC15" s="120" t="str"/>
    </x:row>
    <x:row r="16" ht="28" customHeight="1">
      <x:c r="A16" s="129" t="str">
        <x:v>설계</x:v>
      </x:c>
      <x:c r="B16" s="130" t="str">
        <x:v>DB</x:v>
      </x:c>
      <x:c r="C16" s="137" t="str">
        <x:v>회원·상품·견적·장바구니·주문 ERD 작성</x:v>
      </x:c>
      <x:c r="D16" s="134" t="str"/>
      <x:c r="E16" s="140" t="n">
        <x:v>46224</x:v>
      </x:c>
      <x:c r="F16" s="140" t="n">
        <x:v>46229</x:v>
      </x:c>
      <x:c r="G16" s="143" t="n">
        <x:v>1</x:v>
      </x:c>
      <x:c r="H16" s="123" t="str">
        <x:f>IF(G16=1,"완료",IF(G16&gt;0,"진행 중","예정"))</x:f>
        <x:v>완료</x:v>
      </x:c>
      <x:c r="I16" s="120" t="str"/>
      <x:c r="J16" s="120" t="str"/>
      <x:c r="K16" s="120" t="str"/>
      <x:c r="L16" s="120" t="str"/>
      <x:c r="M16" s="120" t="str"/>
      <x:c r="N16" s="120" t="str"/>
      <x:c r="O16" s="120" t="str"/>
      <x:c r="P16" s="119" t="str"/>
      <x:c r="Q16" s="119" t="str"/>
      <x:c r="R16" s="119" t="str"/>
      <x:c r="S16" s="119" t="str"/>
      <x:c r="T16" s="120" t="str"/>
      <x:c r="U16" s="120" t="str"/>
      <x:c r="V16" s="120" t="str"/>
      <x:c r="W16" s="120" t="str"/>
      <x:c r="X16" s="120" t="str"/>
      <x:c r="Y16" s="120" t="str"/>
      <x:c r="Z16" s="120" t="str"/>
      <x:c r="AA16" s="120" t="str"/>
      <x:c r="AB16" s="120" t="str"/>
      <x:c r="AC16" s="120" t="str"/>
    </x:row>
    <x:row r="17" ht="28" customHeight="1">
      <x:c r="A17" s="129" t="str">
        <x:v>설계</x:v>
      </x:c>
      <x:c r="B17" s="130" t="str">
        <x:v>DB</x:v>
      </x:c>
      <x:c r="C17" s="137" t="str">
        <x:v>테이블 생성 SQL 및 초기 데이터 구성</x:v>
      </x:c>
      <x:c r="D17" s="134" t="str"/>
      <x:c r="E17" s="140" t="n">
        <x:v>46229</x:v>
      </x:c>
      <x:c r="F17" s="140" t="n">
        <x:v>46230</x:v>
      </x:c>
      <x:c r="G17" s="143" t="n">
        <x:v>1</x:v>
      </x:c>
      <x:c r="H17" s="123" t="str">
        <x:f>IF(G17=1,"완료",IF(G17&gt;0,"진행 중","예정"))</x:f>
        <x:v>완료</x:v>
      </x:c>
      <x:c r="I17" s="120" t="str"/>
      <x:c r="J17" s="120" t="str"/>
      <x:c r="K17" s="120" t="str"/>
      <x:c r="L17" s="120" t="str"/>
      <x:c r="M17" s="120" t="str"/>
      <x:c r="N17" s="120" t="str"/>
      <x:c r="O17" s="120" t="str"/>
      <x:c r="P17" s="120" t="str"/>
      <x:c r="Q17" s="120" t="str"/>
      <x:c r="R17" s="120" t="str"/>
      <x:c r="S17" s="120" t="str"/>
      <x:c r="T17" s="119" t="str"/>
      <x:c r="U17" s="120" t="str"/>
      <x:c r="V17" s="120" t="str"/>
      <x:c r="W17" s="120" t="str"/>
      <x:c r="X17" s="120" t="str"/>
      <x:c r="Y17" s="120" t="str"/>
      <x:c r="Z17" s="120" t="str"/>
      <x:c r="AA17" s="120" t="str"/>
      <x:c r="AB17" s="120" t="str"/>
      <x:c r="AC17" s="120" t="str"/>
    </x:row>
    <x:row r="18" ht="28" customHeight="1">
      <x:c r="A18" s="129" t="str">
        <x:v>기획</x:v>
      </x:c>
      <x:c r="B18" s="130" t="str">
        <x:v>요구사항</x:v>
      </x:c>
      <x:c r="C18" s="137" t="str">
        <x:v>필수·선택 기능과 화면별 입력·출력 정의</x:v>
      </x:c>
      <x:c r="D18" s="134" t="str"/>
      <x:c r="E18" s="140" t="n">
        <x:v>46216</x:v>
      </x:c>
      <x:c r="F18" s="140" t="n">
        <x:v>46219</x:v>
      </x:c>
      <x:c r="G18" s="143" t="n">
        <x:v>1</x:v>
      </x:c>
      <x:c r="H18" s="123" t="str">
        <x:f>IF(G18=1,"완료",IF(G18&gt;0,"진행 중","예정"))</x:f>
        <x:v>완료</x:v>
      </x:c>
      <x:c r="I18" s="120" t="str"/>
      <x:c r="J18" s="119" t="str"/>
      <x:c r="K18" s="119" t="str"/>
      <x:c r="L18" s="119" t="str"/>
      <x:c r="M18" s="119" t="str"/>
      <x:c r="N18" s="120" t="str"/>
      <x:c r="O18" s="120" t="str"/>
      <x:c r="P18" s="120" t="str"/>
      <x:c r="Q18" s="120" t="str"/>
      <x:c r="R18" s="120" t="str"/>
      <x:c r="S18" s="120" t="str"/>
      <x:c r="T18" s="120" t="str"/>
      <x:c r="U18" s="120" t="str"/>
      <x:c r="V18" s="120" t="str"/>
      <x:c r="W18" s="120" t="str"/>
      <x:c r="X18" s="120" t="str"/>
      <x:c r="Y18" s="120" t="str"/>
      <x:c r="Z18" s="120" t="str"/>
      <x:c r="AA18" s="120" t="str"/>
      <x:c r="AB18" s="120" t="str"/>
      <x:c r="AC18" s="120" t="str"/>
    </x:row>
    <x:row r="19" ht="28" customHeight="1">
      <x:c r="A19" s="129" t="str">
        <x:v>기획</x:v>
      </x:c>
      <x:c r="B19" s="130" t="str">
        <x:v>데이터</x:v>
      </x:c>
      <x:c r="C19" s="137" t="str">
        <x:v>상품 카테고리·스펙 컬럼 매핑 규칙 정의</x:v>
      </x:c>
      <x:c r="D19" s="134" t="str"/>
      <x:c r="E19" s="140" t="n">
        <x:v>46217</x:v>
      </x:c>
      <x:c r="F19" s="140" t="n">
        <x:v>46220</x:v>
      </x:c>
      <x:c r="G19" s="143" t="n">
        <x:v>1</x:v>
      </x:c>
      <x:c r="H19" s="123" t="str">
        <x:f>IF(G19=1,"완료",IF(G19&gt;0,"진행 중","예정"))</x:f>
        <x:v>완료</x:v>
      </x:c>
      <x:c r="I19" s="120" t="str"/>
      <x:c r="J19" s="120" t="str"/>
      <x:c r="K19" s="119" t="str"/>
      <x:c r="L19" s="119" t="str"/>
      <x:c r="M19" s="119" t="str"/>
      <x:c r="N19" s="119" t="str"/>
      <x:c r="O19" s="120" t="str"/>
      <x:c r="P19" s="120" t="str"/>
      <x:c r="Q19" s="120" t="str"/>
      <x:c r="R19" s="120" t="str"/>
      <x:c r="S19" s="120" t="str"/>
      <x:c r="T19" s="120" t="str"/>
      <x:c r="U19" s="120" t="str"/>
      <x:c r="V19" s="120" t="str"/>
      <x:c r="W19" s="120" t="str"/>
      <x:c r="X19" s="120" t="str"/>
      <x:c r="Y19" s="120" t="str"/>
      <x:c r="Z19" s="120" t="str"/>
      <x:c r="AA19" s="120" t="str"/>
      <x:c r="AB19" s="120" t="str"/>
      <x:c r="AC19" s="120" t="str"/>
    </x:row>
    <x:row r="20" ht="28" customHeight="1">
      <x:c r="A20" s="129" t="str">
        <x:v>설계</x:v>
      </x:c>
      <x:c r="B20" s="130" t="str">
        <x:v>API</x:v>
      </x:c>
      <x:c r="C20" s="137" t="str">
        <x:v>회원·상품·견적·주문 요청/응답 구조 설계</x:v>
      </x:c>
      <x:c r="D20" s="134" t="str"/>
      <x:c r="E20" s="140" t="n">
        <x:v>46223</x:v>
      </x:c>
      <x:c r="F20" s="140" t="n">
        <x:v>46226</x:v>
      </x:c>
      <x:c r="G20" s="143" t="n">
        <x:v>1</x:v>
      </x:c>
      <x:c r="H20" s="123" t="str">
        <x:f>IF(G20=1,"완료",IF(G20&gt;0,"진행 중","예정"))</x:f>
        <x:v>완료</x:v>
      </x:c>
      <x:c r="I20" s="120" t="str"/>
      <x:c r="J20" s="120" t="str"/>
      <x:c r="K20" s="120" t="str"/>
      <x:c r="L20" s="120" t="str"/>
      <x:c r="M20" s="120" t="str"/>
      <x:c r="N20" s="120" t="str"/>
      <x:c r="O20" s="119" t="str"/>
      <x:c r="P20" s="119" t="str"/>
      <x:c r="Q20" s="119" t="str"/>
      <x:c r="R20" s="119" t="str"/>
      <x:c r="S20" s="120" t="str"/>
      <x:c r="T20" s="120" t="str"/>
      <x:c r="U20" s="120" t="str"/>
      <x:c r="V20" s="120" t="str"/>
      <x:c r="W20" s="120" t="str"/>
      <x:c r="X20" s="120" t="str"/>
      <x:c r="Y20" s="120" t="str"/>
      <x:c r="Z20" s="120" t="str"/>
      <x:c r="AA20" s="120" t="str"/>
      <x:c r="AB20" s="120" t="str"/>
      <x:c r="AC20" s="120" t="str"/>
    </x:row>
    <x:row r="21" ht="28" customHeight="1">
      <x:c r="A21" s="131" t="str">
        <x:v>설계</x:v>
      </x:c>
      <x:c r="B21" s="132" t="str">
        <x:v>예외 처리</x:v>
      </x:c>
      <x:c r="C21" s="138" t="str">
        <x:v>인증·데이터 없음·외부 API 실패 화면 정의</x:v>
      </x:c>
      <x:c r="D21" s="135" t="str"/>
      <x:c r="E21" s="141" t="n">
        <x:v>46224</x:v>
      </x:c>
      <x:c r="F21" s="141" t="n">
        <x:v>46227</x:v>
      </x:c>
      <x:c r="G21" s="144" t="n">
        <x:v>1</x:v>
      </x:c>
      <x:c r="H21" s="126" t="str">
        <x:f>IF(G21=1,"완료",IF(G21&gt;0,"진행 중","예정"))</x:f>
        <x:v>완료</x:v>
      </x:c>
      <x:c r="I21" s="120" t="str"/>
      <x:c r="J21" s="120" t="str"/>
      <x:c r="K21" s="120" t="str"/>
      <x:c r="L21" s="120" t="str"/>
      <x:c r="M21" s="120" t="str"/>
      <x:c r="N21" s="120" t="str"/>
      <x:c r="O21" s="120" t="str"/>
      <x:c r="P21" s="119" t="str"/>
      <x:c r="Q21" s="119" t="str"/>
      <x:c r="R21" s="119" t="str"/>
      <x:c r="S21" s="119" t="str"/>
      <x:c r="T21" s="120" t="str"/>
      <x:c r="U21" s="120" t="str"/>
      <x:c r="V21" s="120" t="str"/>
      <x:c r="W21" s="120" t="str"/>
      <x:c r="X21" s="120" t="str"/>
      <x:c r="Y21" s="120" t="str"/>
      <x:c r="Z21" s="120" t="str"/>
      <x:c r="AA21" s="120" t="str"/>
      <x:c r="AB21" s="120" t="str"/>
      <x:c r="AC21" s="120" t="str"/>
    </x:row>
  </x:sheetData>
  <x:mergeCells>
    <x:mergeCell ref="A1:AC1"/>
    <x:mergeCell ref="A2:AC2"/>
    <x:mergeCell ref="A4:H4"/>
    <x:mergeCell ref="I4:M4"/>
    <x:mergeCell ref="N4:R4"/>
    <x:mergeCell ref="S4:W4"/>
    <x:mergeCell ref="X4:AC4"/>
  </x:mergeCells>
  <x:dataValidations count="1">
    <x:dataValidation type="list" sqref="D6:D21">
      <x:formula1>"공동,팀장,팀원"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42" hidden="0" customWidth="1"/>
    <x:col min="4" max="4" width="10" hidden="0" customWidth="1"/>
    <x:col min="5" max="5" width="12" hidden="0" customWidth="1"/>
    <x:col min="6" max="6" width="12" hidden="0" customWidth="1"/>
    <x:col min="7" max="7" width="9" hidden="0" customWidth="1"/>
    <x:col min="8" max="8" width="11" hidden="0" customWidth="1"/>
    <x:col min="9" max="9" width="5" hidden="0" customWidth="1"/>
    <x:col min="10" max="10" width="5" hidden="0" customWidth="1"/>
    <x:col min="11" max="11" width="5" hidden="0" customWidth="1"/>
    <x:col min="12" max="12" width="5" hidden="0" customWidth="1"/>
    <x:col min="13" max="13" width="5" hidden="0" customWidth="1"/>
    <x:col min="14" max="14" width="5" hidden="0" customWidth="1"/>
    <x:col min="15" max="15" width="5" hidden="0" customWidth="1"/>
    <x:col min="16" max="16" width="5" hidden="0" customWidth="1"/>
    <x:col min="17" max="17" width="5" hidden="0" customWidth="1"/>
    <x:col min="18" max="18" width="5" hidden="0" customWidth="1"/>
    <x:col min="19" max="19" width="5" hidden="0" customWidth="1"/>
    <x:col min="20" max="20" width="5" hidden="0" customWidth="1"/>
    <x:col min="21" max="21" width="5" hidden="0" customWidth="1"/>
    <x:col min="22" max="22" width="5" hidden="0" customWidth="1"/>
    <x:col min="23" max="23" width="5" hidden="0" customWidth="1"/>
    <x:col min="24" max="24" width="5" hidden="0" customWidth="1"/>
    <x:col min="25" max="25" width="5" hidden="0" customWidth="1"/>
    <x:col min="26" max="26" width="5" hidden="0" customWidth="1"/>
    <x:col min="27" max="27" width="5" hidden="0" customWidth="1"/>
    <x:col min="28" max="28" width="5" hidden="0" customWidth="1"/>
    <x:col min="29" max="29" width="5" hidden="0" customWidth="1"/>
  </x:cols>
  <x:sheetData>
    <x:row r="1" ht="30" customHeight="1">
      <x:c r="A1" s="92" t="str">
        <x:v>COMPICK WBS | 메인·상품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92"/>
      <x:c r="P1" s="92"/>
      <x:c r="Q1" s="92"/>
      <x:c r="R1" s="92"/>
      <x:c r="S1" s="92"/>
      <x:c r="T1" s="92"/>
      <x:c r="U1" s="92"/>
      <x:c r="V1" s="92"/>
      <x:c r="W1" s="92"/>
      <x:c r="X1" s="92"/>
      <x:c r="Y1" s="92"/>
      <x:c r="Z1" s="92"/>
      <x:c r="AA1" s="92"/>
      <x:c r="AB1" s="92"/>
      <x:c r="AC1" s="92"/>
    </x:row>
    <x:row r="2" ht="22" customHeight="1">
      <x:c r="A2" s="95" t="str">
        <x:v>기준 기간 2026-07-10 ~ 2026-08-07  ·  녹색=완료 / 주황=진행 중 / 회색=예정</x:v>
      </x:c>
      <x:c r="B2" s="95"/>
      <x:c r="C2" s="95"/>
      <x:c r="D2" s="95"/>
      <x:c r="E2" s="95"/>
      <x:c r="F2" s="95"/>
      <x:c r="G2" s="95"/>
      <x:c r="H2" s="95"/>
      <x:c r="I2" s="95"/>
      <x:c r="J2" s="95"/>
      <x:c r="K2" s="95"/>
      <x:c r="L2" s="95"/>
      <x:c r="M2" s="95"/>
      <x:c r="N2" s="95"/>
      <x:c r="O2" s="95"/>
      <x:c r="P2" s="95"/>
      <x:c r="Q2" s="95"/>
      <x:c r="R2" s="95"/>
      <x:c r="S2" s="95"/>
      <x:c r="T2" s="95"/>
      <x:c r="U2" s="95"/>
      <x:c r="V2" s="95"/>
      <x:c r="W2" s="95"/>
      <x:c r="X2" s="95"/>
      <x:c r="Y2" s="95"/>
      <x:c r="Z2" s="95"/>
      <x:c r="AA2" s="95"/>
      <x:c r="AB2" s="95"/>
      <x:c r="AC2" s="95"/>
    </x:row>
    <x:row r="4" ht="26" customHeight="1">
      <x:c r="A4" s="100" t="str">
        <x:v>업무 정보</x:v>
      </x:c>
      <x:c r="B4" s="100"/>
      <x:c r="C4" s="100"/>
      <x:c r="D4" s="100"/>
      <x:c r="E4" s="100"/>
      <x:c r="F4" s="100"/>
      <x:c r="G4" s="100"/>
      <x:c r="H4" s="100"/>
      <x:c r="I4" s="100" t="str">
        <x:v>1주차  7/10~7/16</x:v>
      </x:c>
      <x:c r="J4" s="100"/>
      <x:c r="K4" s="100"/>
      <x:c r="L4" s="100"/>
      <x:c r="M4" s="100"/>
      <x:c r="N4" s="100" t="str">
        <x:v>2주차  7/17~7/23</x:v>
      </x:c>
      <x:c r="O4" s="100"/>
      <x:c r="P4" s="100"/>
      <x:c r="Q4" s="100"/>
      <x:c r="R4" s="100"/>
      <x:c r="S4" s="100" t="str">
        <x:v>3주차  7/24~7/30</x:v>
      </x:c>
      <x:c r="T4" s="100"/>
      <x:c r="U4" s="100"/>
      <x:c r="V4" s="100"/>
      <x:c r="W4" s="100"/>
      <x:c r="X4" s="100" t="str">
        <x:v>4주차  7/31~8/07</x:v>
      </x:c>
      <x:c r="Y4" s="100"/>
      <x:c r="Z4" s="100"/>
      <x:c r="AA4" s="100"/>
      <x:c r="AB4" s="100"/>
      <x:c r="AC4" s="100"/>
    </x:row>
    <x:row r="5" ht="26" customHeight="1">
      <x:c r="A5" s="106" t="str">
        <x:v>단계</x:v>
      </x:c>
      <x:c r="B5" s="106" t="str">
        <x:v>구분</x:v>
      </x:c>
      <x:c r="C5" s="106" t="str">
        <x:v>세부 작업</x:v>
      </x:c>
      <x:c r="D5" s="106" t="str">
        <x:v>담당자</x:v>
      </x:c>
      <x:c r="E5" s="106" t="str">
        <x:v>시작일</x:v>
      </x:c>
      <x:c r="F5" s="106" t="str">
        <x:v>종료일</x:v>
      </x:c>
      <x:c r="G5" s="106" t="str">
        <x:v>완료율</x:v>
      </x:c>
      <x:c r="H5" s="106" t="str">
        <x:v>상태</x:v>
      </x:c>
      <x:c r="I5" s="145" t="n">
        <x:v>46213</x:v>
      </x:c>
      <x:c r="J5" s="145" t="n">
        <x:v>46216</x:v>
      </x:c>
      <x:c r="K5" s="145" t="n">
        <x:v>46217</x:v>
      </x:c>
      <x:c r="L5" s="145" t="n">
        <x:v>46218</x:v>
      </x:c>
      <x:c r="M5" s="145" t="n">
        <x:v>46219</x:v>
      </x:c>
      <x:c r="N5" s="145" t="n">
        <x:v>46220</x:v>
      </x:c>
      <x:c r="O5" s="145" t="n">
        <x:v>46223</x:v>
      </x:c>
      <x:c r="P5" s="145" t="n">
        <x:v>46224</x:v>
      </x:c>
      <x:c r="Q5" s="145" t="n">
        <x:v>46225</x:v>
      </x:c>
      <x:c r="R5" s="145" t="n">
        <x:v>46226</x:v>
      </x:c>
      <x:c r="S5" s="145" t="n">
        <x:v>46227</x:v>
      </x:c>
      <x:c r="T5" s="145" t="n">
        <x:v>46230</x:v>
      </x:c>
      <x:c r="U5" s="145" t="n">
        <x:v>46231</x:v>
      </x:c>
      <x:c r="V5" s="145" t="n">
        <x:v>46232</x:v>
      </x:c>
      <x:c r="W5" s="145" t="n">
        <x:v>46233</x:v>
      </x:c>
      <x:c r="X5" s="145" t="n">
        <x:v>46234</x:v>
      </x:c>
      <x:c r="Y5" s="145" t="n">
        <x:v>46237</x:v>
      </x:c>
      <x:c r="Z5" s="145" t="n">
        <x:v>46238</x:v>
      </x:c>
      <x:c r="AA5" s="145" t="n">
        <x:v>46239</x:v>
      </x:c>
      <x:c r="AB5" s="145" t="n">
        <x:v>46240</x:v>
      </x:c>
      <x:c r="AC5" s="145" t="n">
        <x:v>46241</x:v>
      </x:c>
    </x:row>
    <x:row r="6" ht="28" customHeight="1">
      <x:c r="A6" s="127" t="str">
        <x:v>개발</x:v>
      </x:c>
      <x:c r="B6" s="128" t="str">
        <x:v>공통</x:v>
      </x:c>
      <x:c r="C6" s="136" t="str">
        <x:v>디자인 토큰·공통 CSS·반응형 기준 적용</x:v>
      </x:c>
      <x:c r="D6" s="133" t="str"/>
      <x:c r="E6" s="139" t="n">
        <x:v>46230</x:v>
      </x:c>
      <x:c r="F6" s="139" t="n">
        <x:v>46231</x:v>
      </x:c>
      <x:c r="G6" s="142" t="n">
        <x:v>1</x:v>
      </x:c>
      <x:c r="H6" s="118" t="str">
        <x:f>IF(G6=1,"완료",IF(G6&gt;0,"진행 중","예정"))</x:f>
        <x:v>완료</x:v>
      </x:c>
      <x:c r="I6" s="120" t="str"/>
      <x:c r="J6" s="120" t="str"/>
      <x:c r="K6" s="120" t="str"/>
      <x:c r="L6" s="120" t="str"/>
      <x:c r="M6" s="120" t="str"/>
      <x:c r="N6" s="120" t="str"/>
      <x:c r="O6" s="120" t="str"/>
      <x:c r="P6" s="120" t="str"/>
      <x:c r="Q6" s="120" t="str"/>
      <x:c r="R6" s="120" t="str"/>
      <x:c r="S6" s="120" t="str"/>
      <x:c r="T6" s="119" t="str"/>
      <x:c r="U6" s="119" t="str"/>
      <x:c r="V6" s="120" t="str"/>
      <x:c r="W6" s="120" t="str"/>
      <x:c r="X6" s="120" t="str"/>
      <x:c r="Y6" s="120" t="str"/>
      <x:c r="Z6" s="120" t="str"/>
      <x:c r="AA6" s="120" t="str"/>
      <x:c r="AB6" s="120" t="str"/>
      <x:c r="AC6" s="120" t="str"/>
    </x:row>
    <x:row r="7" ht="28" customHeight="1">
      <x:c r="A7" s="129" t="str">
        <x:v>개발</x:v>
      </x:c>
      <x:c r="B7" s="130" t="str">
        <x:v>공통</x:v>
      </x:c>
      <x:c r="C7" s="137" t="str">
        <x:v>Header·Footer Thymeleaf Fragment 구현</x:v>
      </x:c>
      <x:c r="D7" s="134" t="str"/>
      <x:c r="E7" s="140" t="n">
        <x:v>46230</x:v>
      </x:c>
      <x:c r="F7" s="140" t="n">
        <x:v>46231</x:v>
      </x:c>
      <x:c r="G7" s="143" t="n">
        <x:v>1</x:v>
      </x:c>
      <x:c r="H7" s="123" t="str">
        <x:f>IF(G7=1,"완료",IF(G7&gt;0,"진행 중","예정"))</x:f>
        <x:v>완료</x:v>
      </x:c>
      <x:c r="I7" s="120" t="str"/>
      <x:c r="J7" s="120" t="str"/>
      <x:c r="K7" s="120" t="str"/>
      <x:c r="L7" s="120" t="str"/>
      <x:c r="M7" s="120" t="str"/>
      <x:c r="N7" s="120" t="str"/>
      <x:c r="O7" s="120" t="str"/>
      <x:c r="P7" s="120" t="str"/>
      <x:c r="Q7" s="120" t="str"/>
      <x:c r="R7" s="120" t="str"/>
      <x:c r="S7" s="120" t="str"/>
      <x:c r="T7" s="119" t="str"/>
      <x:c r="U7" s="119" t="str"/>
      <x:c r="V7" s="120" t="str"/>
      <x:c r="W7" s="120" t="str"/>
      <x:c r="X7" s="120" t="str"/>
      <x:c r="Y7" s="120" t="str"/>
      <x:c r="Z7" s="120" t="str"/>
      <x:c r="AA7" s="120" t="str"/>
      <x:c r="AB7" s="120" t="str"/>
      <x:c r="AC7" s="120" t="str"/>
    </x:row>
    <x:row r="8" ht="28" customHeight="1">
      <x:c r="A8" s="129" t="str">
        <x:v>개발</x:v>
      </x:c>
      <x:c r="B8" s="130" t="str">
        <x:v>메인</x:v>
      </x:c>
      <x:c r="C8" s="137" t="str">
        <x:v>메인 소개·빠른 시작 카드·주요 링크 구현</x:v>
      </x:c>
      <x:c r="D8" s="134" t="str"/>
      <x:c r="E8" s="140" t="n">
        <x:v>46231</x:v>
      </x:c>
      <x:c r="F8" s="140" t="n">
        <x:v>46232</x:v>
      </x:c>
      <x:c r="G8" s="143" t="n">
        <x:v>1</x:v>
      </x:c>
      <x:c r="H8" s="123" t="str">
        <x:f>IF(G8=1,"완료",IF(G8&gt;0,"진행 중","예정"))</x:f>
        <x:v>완료</x:v>
      </x:c>
      <x:c r="I8" s="120" t="str"/>
      <x:c r="J8" s="120" t="str"/>
      <x:c r="K8" s="120" t="str"/>
      <x:c r="L8" s="120" t="str"/>
      <x:c r="M8" s="120" t="str"/>
      <x:c r="N8" s="120" t="str"/>
      <x:c r="O8" s="120" t="str"/>
      <x:c r="P8" s="120" t="str"/>
      <x:c r="Q8" s="120" t="str"/>
      <x:c r="R8" s="120" t="str"/>
      <x:c r="S8" s="120" t="str"/>
      <x:c r="T8" s="120" t="str"/>
      <x:c r="U8" s="119" t="str"/>
      <x:c r="V8" s="119" t="str"/>
      <x:c r="W8" s="120" t="str"/>
      <x:c r="X8" s="120" t="str"/>
      <x:c r="Y8" s="120" t="str"/>
      <x:c r="Z8" s="120" t="str"/>
      <x:c r="AA8" s="120" t="str"/>
      <x:c r="AB8" s="120" t="str"/>
      <x:c r="AC8" s="120" t="str"/>
    </x:row>
    <x:row r="9" ht="28" customHeight="1">
      <x:c r="A9" s="129" t="str">
        <x:v>개발</x:v>
      </x:c>
      <x:c r="B9" s="130" t="str">
        <x:v>상품</x:v>
      </x:c>
      <x:c r="C9" s="137" t="str">
        <x:v>인기 상품 조회와 상품 카드 반복 출력</x:v>
      </x:c>
      <x:c r="D9" s="134" t="str"/>
      <x:c r="E9" s="140" t="n">
        <x:v>46231</x:v>
      </x:c>
      <x:c r="F9" s="140" t="n">
        <x:v>46232</x:v>
      </x:c>
      <x:c r="G9" s="143" t="n">
        <x:v>1</x:v>
      </x:c>
      <x:c r="H9" s="123" t="str">
        <x:f>IF(G9=1,"완료",IF(G9&gt;0,"진행 중","예정"))</x:f>
        <x:v>완료</x:v>
      </x:c>
      <x:c r="I9" s="120" t="str"/>
      <x:c r="J9" s="120" t="str"/>
      <x:c r="K9" s="120" t="str"/>
      <x:c r="L9" s="120" t="str"/>
      <x:c r="M9" s="120" t="str"/>
      <x:c r="N9" s="120" t="str"/>
      <x:c r="O9" s="120" t="str"/>
      <x:c r="P9" s="120" t="str"/>
      <x:c r="Q9" s="120" t="str"/>
      <x:c r="R9" s="120" t="str"/>
      <x:c r="S9" s="120" t="str"/>
      <x:c r="T9" s="120" t="str"/>
      <x:c r="U9" s="119" t="str"/>
      <x:c r="V9" s="119" t="str"/>
      <x:c r="W9" s="120" t="str"/>
      <x:c r="X9" s="120" t="str"/>
      <x:c r="Y9" s="120" t="str"/>
      <x:c r="Z9" s="120" t="str"/>
      <x:c r="AA9" s="120" t="str"/>
      <x:c r="AB9" s="120" t="str"/>
      <x:c r="AC9" s="120" t="str"/>
    </x:row>
    <x:row r="10" ht="28" customHeight="1">
      <x:c r="A10" s="129" t="str">
        <x:v>개발</x:v>
      </x:c>
      <x:c r="B10" s="130" t="str">
        <x:v>상품</x:v>
      </x:c>
      <x:c r="C10" s="137" t="str">
        <x:v>카테고리별 상품 목록·검색·정렬 구현</x:v>
      </x:c>
      <x:c r="D10" s="134" t="str"/>
      <x:c r="E10" s="140" t="n">
        <x:v>46232</x:v>
      </x:c>
      <x:c r="F10" s="140" t="n">
        <x:v>46233</x:v>
      </x:c>
      <x:c r="G10" s="143" t="n">
        <x:v>1</x:v>
      </x:c>
      <x:c r="H10" s="123" t="str">
        <x:f>IF(G10=1,"완료",IF(G10&gt;0,"진행 중","예정"))</x:f>
        <x:v>완료</x:v>
      </x:c>
      <x:c r="I10" s="120" t="str"/>
      <x:c r="J10" s="120" t="str"/>
      <x:c r="K10" s="120" t="str"/>
      <x:c r="L10" s="120" t="str"/>
      <x:c r="M10" s="120" t="str"/>
      <x:c r="N10" s="120" t="str"/>
      <x:c r="O10" s="120" t="str"/>
      <x:c r="P10" s="120" t="str"/>
      <x:c r="Q10" s="120" t="str"/>
      <x:c r="R10" s="120" t="str"/>
      <x:c r="S10" s="120" t="str"/>
      <x:c r="T10" s="120" t="str"/>
      <x:c r="U10" s="120" t="str"/>
      <x:c r="V10" s="119" t="str"/>
      <x:c r="W10" s="119" t="str"/>
      <x:c r="X10" s="120" t="str"/>
      <x:c r="Y10" s="120" t="str"/>
      <x:c r="Z10" s="120" t="str"/>
      <x:c r="AA10" s="120" t="str"/>
      <x:c r="AB10" s="120" t="str"/>
      <x:c r="AC10" s="120" t="str"/>
    </x:row>
    <x:row r="11" ht="28" customHeight="1">
      <x:c r="A11" s="129" t="str">
        <x:v>개발</x:v>
      </x:c>
      <x:c r="B11" s="130" t="str">
        <x:v>상품</x:v>
      </x:c>
      <x:c r="C11" s="137" t="str">
        <x:v>상품 이미지·가격·스펙 상세 팝업 구현</x:v>
      </x:c>
      <x:c r="D11" s="134" t="str"/>
      <x:c r="E11" s="140" t="n">
        <x:v>46232</x:v>
      </x:c>
      <x:c r="F11" s="140" t="n">
        <x:v>46234</x:v>
      </x:c>
      <x:c r="G11" s="143" t="n">
        <x:v>1</x:v>
      </x:c>
      <x:c r="H11" s="123" t="str">
        <x:f>IF(G11=1,"완료",IF(G11&gt;0,"진행 중","예정"))</x:f>
        <x:v>완료</x:v>
      </x:c>
      <x:c r="I11" s="120" t="str"/>
      <x:c r="J11" s="120" t="str"/>
      <x:c r="K11" s="120" t="str"/>
      <x:c r="L11" s="120" t="str"/>
      <x:c r="M11" s="120" t="str"/>
      <x:c r="N11" s="120" t="str"/>
      <x:c r="O11" s="120" t="str"/>
      <x:c r="P11" s="120" t="str"/>
      <x:c r="Q11" s="120" t="str"/>
      <x:c r="R11" s="120" t="str"/>
      <x:c r="S11" s="120" t="str"/>
      <x:c r="T11" s="120" t="str"/>
      <x:c r="U11" s="120" t="str"/>
      <x:c r="V11" s="119" t="str"/>
      <x:c r="W11" s="119" t="str"/>
      <x:c r="X11" s="119" t="str"/>
      <x:c r="Y11" s="120" t="str"/>
      <x:c r="Z11" s="120" t="str"/>
      <x:c r="AA11" s="120" t="str"/>
      <x:c r="AB11" s="120" t="str"/>
      <x:c r="AC11" s="120" t="str"/>
    </x:row>
    <x:row r="12" ht="28" customHeight="1">
      <x:c r="A12" s="129" t="str">
        <x:v>개발</x:v>
      </x:c>
      <x:c r="B12" s="130" t="str">
        <x:v>상품</x:v>
      </x:c>
      <x:c r="C12" s="137" t="str">
        <x:v>단일 상품 장바구니 담기 연동</x:v>
      </x:c>
      <x:c r="D12" s="134" t="str"/>
      <x:c r="E12" s="140" t="n">
        <x:v>46233</x:v>
      </x:c>
      <x:c r="F12" s="140" t="n">
        <x:v>46234</x:v>
      </x:c>
      <x:c r="G12" s="143" t="n">
        <x:v>1</x:v>
      </x:c>
      <x:c r="H12" s="123" t="str">
        <x:f>IF(G12=1,"완료",IF(G12&gt;0,"진행 중","예정"))</x:f>
        <x:v>완료</x:v>
      </x:c>
      <x:c r="I12" s="120" t="str"/>
      <x:c r="J12" s="120" t="str"/>
      <x:c r="K12" s="120" t="str"/>
      <x:c r="L12" s="120" t="str"/>
      <x:c r="M12" s="120" t="str"/>
      <x:c r="N12" s="120" t="str"/>
      <x:c r="O12" s="120" t="str"/>
      <x:c r="P12" s="120" t="str"/>
      <x:c r="Q12" s="120" t="str"/>
      <x:c r="R12" s="120" t="str"/>
      <x:c r="S12" s="120" t="str"/>
      <x:c r="T12" s="120" t="str"/>
      <x:c r="U12" s="120" t="str"/>
      <x:c r="V12" s="120" t="str"/>
      <x:c r="W12" s="119" t="str"/>
      <x:c r="X12" s="119" t="str"/>
      <x:c r="Y12" s="120" t="str"/>
      <x:c r="Z12" s="120" t="str"/>
      <x:c r="AA12" s="120" t="str"/>
      <x:c r="AB12" s="120" t="str"/>
      <x:c r="AC12" s="120" t="str"/>
    </x:row>
    <x:row r="13" ht="28" customHeight="1">
      <x:c r="A13" s="129" t="str">
        <x:v>테스트</x:v>
      </x:c>
      <x:c r="B13" s="130" t="str">
        <x:v>메인</x:v>
      </x:c>
      <x:c r="C13" s="137" t="str">
        <x:v>메뉴·검색·상품 카드·화면 이동 점검</x:v>
      </x:c>
      <x:c r="D13" s="134" t="str"/>
      <x:c r="E13" s="140" t="n">
        <x:v>46237</x:v>
      </x:c>
      <x:c r="F13" s="140" t="n">
        <x:v>46238</x:v>
      </x:c>
      <x:c r="G13" s="143" t="n">
        <x:v>1</x:v>
      </x:c>
      <x:c r="H13" s="123" t="str">
        <x:f>IF(G13=1,"완료",IF(G13&gt;0,"진행 중","예정"))</x:f>
        <x:v>완료</x:v>
      </x:c>
      <x:c r="I13" s="120" t="str"/>
      <x:c r="J13" s="120" t="str"/>
      <x:c r="K13" s="120" t="str"/>
      <x:c r="L13" s="120" t="str"/>
      <x:c r="M13" s="120" t="str"/>
      <x:c r="N13" s="120" t="str"/>
      <x:c r="O13" s="120" t="str"/>
      <x:c r="P13" s="120" t="str"/>
      <x:c r="Q13" s="120" t="str"/>
      <x:c r="R13" s="120" t="str"/>
      <x:c r="S13" s="120" t="str"/>
      <x:c r="T13" s="120" t="str"/>
      <x:c r="U13" s="120" t="str"/>
      <x:c r="V13" s="120" t="str"/>
      <x:c r="W13" s="120" t="str"/>
      <x:c r="X13" s="120" t="str"/>
      <x:c r="Y13" s="119" t="str"/>
      <x:c r="Z13" s="119" t="str"/>
      <x:c r="AA13" s="120" t="str"/>
      <x:c r="AB13" s="120" t="str"/>
      <x:c r="AC13" s="120" t="str"/>
    </x:row>
    <x:row r="14" ht="28" customHeight="1">
      <x:c r="A14" s="129" t="str">
        <x:v>테스트</x:v>
      </x:c>
      <x:c r="B14" s="130" t="str">
        <x:v>상품</x:v>
      </x:c>
      <x:c r="C14" s="137" t="str">
        <x:v>빈 목록·이미지 오류·검색 예외 점검</x:v>
      </x:c>
      <x:c r="D14" s="134" t="str"/>
      <x:c r="E14" s="140" t="n">
        <x:v>46238</x:v>
      </x:c>
      <x:c r="F14" s="140" t="n">
        <x:v>46239</x:v>
      </x:c>
      <x:c r="G14" s="143" t="n">
        <x:v>0.9</x:v>
      </x:c>
      <x:c r="H14" s="151" t="str">
        <x:f>IF(G14=1,"완료",IF(G14&gt;0,"진행 중","예정"))</x:f>
        <x:v>진행 중</x:v>
      </x:c>
      <x:c r="I14" s="120" t="str"/>
      <x:c r="J14" s="120" t="str"/>
      <x:c r="K14" s="120" t="str"/>
      <x:c r="L14" s="120" t="str"/>
      <x:c r="M14" s="120" t="str"/>
      <x:c r="N14" s="120" t="str"/>
      <x:c r="O14" s="120" t="str"/>
      <x:c r="P14" s="120" t="str"/>
      <x:c r="Q14" s="120" t="str"/>
      <x:c r="R14" s="120" t="str"/>
      <x:c r="S14" s="120" t="str"/>
      <x:c r="T14" s="120" t="str"/>
      <x:c r="U14" s="120" t="str"/>
      <x:c r="V14" s="120" t="str"/>
      <x:c r="W14" s="120" t="str"/>
      <x:c r="X14" s="120" t="str"/>
      <x:c r="Y14" s="120" t="str"/>
      <x:c r="Z14" s="152" t="str"/>
      <x:c r="AA14" s="152" t="str"/>
      <x:c r="AB14" s="120" t="str"/>
      <x:c r="AC14" s="120" t="str"/>
    </x:row>
    <x:row r="15" ht="28" customHeight="1">
      <x:c r="A15" s="129" t="str">
        <x:v>개발</x:v>
      </x:c>
      <x:c r="B15" s="130" t="str">
        <x:v>Controller</x:v>
      </x:c>
      <x:c r="C15" s="137" t="str">
        <x:v>홈 화면 GET 요청과 Model 데이터 전달</x:v>
      </x:c>
      <x:c r="D15" s="134" t="str"/>
      <x:c r="E15" s="140" t="n">
        <x:v>46231</x:v>
      </x:c>
      <x:c r="F15" s="140" t="n">
        <x:v>46232</x:v>
      </x:c>
      <x:c r="G15" s="143" t="n">
        <x:v>1</x:v>
      </x:c>
      <x:c r="H15" s="123" t="str">
        <x:f>IF(G15=1,"완료",IF(G15&gt;0,"진행 중","예정"))</x:f>
        <x:v>완료</x:v>
      </x:c>
      <x:c r="I15" s="120" t="str"/>
      <x:c r="J15" s="120" t="str"/>
      <x:c r="K15" s="120" t="str"/>
      <x:c r="L15" s="120" t="str"/>
      <x:c r="M15" s="120" t="str"/>
      <x:c r="N15" s="120" t="str"/>
      <x:c r="O15" s="120" t="str"/>
      <x:c r="P15" s="120" t="str"/>
      <x:c r="Q15" s="120" t="str"/>
      <x:c r="R15" s="120" t="str"/>
      <x:c r="S15" s="120" t="str"/>
      <x:c r="T15" s="120" t="str"/>
      <x:c r="U15" s="119" t="str"/>
      <x:c r="V15" s="119" t="str"/>
      <x:c r="W15" s="120" t="str"/>
      <x:c r="X15" s="120" t="str"/>
      <x:c r="Y15" s="120" t="str"/>
      <x:c r="Z15" s="120" t="str"/>
      <x:c r="AA15" s="120" t="str"/>
      <x:c r="AB15" s="120" t="str"/>
      <x:c r="AC15" s="120" t="str"/>
    </x:row>
    <x:row r="16" ht="28" customHeight="1">
      <x:c r="A16" s="129" t="str">
        <x:v>개발</x:v>
      </x:c>
      <x:c r="B16" s="130" t="str">
        <x:v>Service</x:v>
      </x:c>
      <x:c r="C16" s="137" t="str">
        <x:v>판매 중 상품·인기 상품 조회 로직</x:v>
      </x:c>
      <x:c r="D16" s="134" t="str"/>
      <x:c r="E16" s="140" t="n">
        <x:v>46231</x:v>
      </x:c>
      <x:c r="F16" s="140" t="n">
        <x:v>46232</x:v>
      </x:c>
      <x:c r="G16" s="143" t="n">
        <x:v>1</x:v>
      </x:c>
      <x:c r="H16" s="123" t="str">
        <x:f>IF(G16=1,"완료",IF(G16&gt;0,"진행 중","예정"))</x:f>
        <x:v>완료</x:v>
      </x:c>
      <x:c r="I16" s="120" t="str"/>
      <x:c r="J16" s="120" t="str"/>
      <x:c r="K16" s="120" t="str"/>
      <x:c r="L16" s="120" t="str"/>
      <x:c r="M16" s="120" t="str"/>
      <x:c r="N16" s="120" t="str"/>
      <x:c r="O16" s="120" t="str"/>
      <x:c r="P16" s="120" t="str"/>
      <x:c r="Q16" s="120" t="str"/>
      <x:c r="R16" s="120" t="str"/>
      <x:c r="S16" s="120" t="str"/>
      <x:c r="T16" s="120" t="str"/>
      <x:c r="U16" s="119" t="str"/>
      <x:c r="V16" s="119" t="str"/>
      <x:c r="W16" s="120" t="str"/>
      <x:c r="X16" s="120" t="str"/>
      <x:c r="Y16" s="120" t="str"/>
      <x:c r="Z16" s="120" t="str"/>
      <x:c r="AA16" s="120" t="str"/>
      <x:c r="AB16" s="120" t="str"/>
      <x:c r="AC16" s="120" t="str"/>
    </x:row>
    <x:row r="17" ht="28" customHeight="1">
      <x:c r="A17" s="129" t="str">
        <x:v>개발</x:v>
      </x:c>
      <x:c r="B17" s="130" t="str">
        <x:v>Repository</x:v>
      </x:c>
      <x:c r="C17" s="137" t="str">
        <x:v>카테고리·검색어·판매 상태 조회 쿼리</x:v>
      </x:c>
      <x:c r="D17" s="134" t="str"/>
      <x:c r="E17" s="140" t="n">
        <x:v>46232</x:v>
      </x:c>
      <x:c r="F17" s="140" t="n">
        <x:v>46233</x:v>
      </x:c>
      <x:c r="G17" s="143" t="n">
        <x:v>1</x:v>
      </x:c>
      <x:c r="H17" s="123" t="str">
        <x:f>IF(G17=1,"완료",IF(G17&gt;0,"진행 중","예정"))</x:f>
        <x:v>완료</x:v>
      </x:c>
      <x:c r="I17" s="120" t="str"/>
      <x:c r="J17" s="120" t="str"/>
      <x:c r="K17" s="120" t="str"/>
      <x:c r="L17" s="120" t="str"/>
      <x:c r="M17" s="120" t="str"/>
      <x:c r="N17" s="120" t="str"/>
      <x:c r="O17" s="120" t="str"/>
      <x:c r="P17" s="120" t="str"/>
      <x:c r="Q17" s="120" t="str"/>
      <x:c r="R17" s="120" t="str"/>
      <x:c r="S17" s="120" t="str"/>
      <x:c r="T17" s="120" t="str"/>
      <x:c r="U17" s="120" t="str"/>
      <x:c r="V17" s="119" t="str"/>
      <x:c r="W17" s="119" t="str"/>
      <x:c r="X17" s="120" t="str"/>
      <x:c r="Y17" s="120" t="str"/>
      <x:c r="Z17" s="120" t="str"/>
      <x:c r="AA17" s="120" t="str"/>
      <x:c r="AB17" s="120" t="str"/>
      <x:c r="AC17" s="120" t="str"/>
    </x:row>
    <x:row r="18" ht="28" customHeight="1">
      <x:c r="A18" s="129" t="str">
        <x:v>개발</x:v>
      </x:c>
      <x:c r="B18" s="130" t="str">
        <x:v>DTO</x:v>
      </x:c>
      <x:c r="C18" s="137" t="str">
        <x:v>상품 목록·상세 응답 데이터 구성</x:v>
      </x:c>
      <x:c r="D18" s="134" t="str"/>
      <x:c r="E18" s="140" t="n">
        <x:v>46232</x:v>
      </x:c>
      <x:c r="F18" s="140" t="n">
        <x:v>46233</x:v>
      </x:c>
      <x:c r="G18" s="143" t="n">
        <x:v>1</x:v>
      </x:c>
      <x:c r="H18" s="123" t="str">
        <x:f>IF(G18=1,"완료",IF(G18&gt;0,"진행 중","예정"))</x:f>
        <x:v>완료</x:v>
      </x:c>
      <x:c r="I18" s="120" t="str"/>
      <x:c r="J18" s="120" t="str"/>
      <x:c r="K18" s="120" t="str"/>
      <x:c r="L18" s="120" t="str"/>
      <x:c r="M18" s="120" t="str"/>
      <x:c r="N18" s="120" t="str"/>
      <x:c r="O18" s="120" t="str"/>
      <x:c r="P18" s="120" t="str"/>
      <x:c r="Q18" s="120" t="str"/>
      <x:c r="R18" s="120" t="str"/>
      <x:c r="S18" s="120" t="str"/>
      <x:c r="T18" s="120" t="str"/>
      <x:c r="U18" s="120" t="str"/>
      <x:c r="V18" s="119" t="str"/>
      <x:c r="W18" s="119" t="str"/>
      <x:c r="X18" s="120" t="str"/>
      <x:c r="Y18" s="120" t="str"/>
      <x:c r="Z18" s="120" t="str"/>
      <x:c r="AA18" s="120" t="str"/>
      <x:c r="AB18" s="120" t="str"/>
      <x:c r="AC18" s="120" t="str"/>
    </x:row>
    <x:row r="19" ht="28" customHeight="1">
      <x:c r="A19" s="129" t="str">
        <x:v>개발</x:v>
      </x:c>
      <x:c r="B19" s="130" t="str">
        <x:v>UI 이벤트</x:v>
      </x:c>
      <x:c r="C19" s="137" t="str">
        <x:v>상품 카드 클릭·검색·장바구니 버튼 이벤트</x:v>
      </x:c>
      <x:c r="D19" s="134" t="str"/>
      <x:c r="E19" s="140" t="n">
        <x:v>46233</x:v>
      </x:c>
      <x:c r="F19" s="140" t="n">
        <x:v>46234</x:v>
      </x:c>
      <x:c r="G19" s="143" t="n">
        <x:v>1</x:v>
      </x:c>
      <x:c r="H19" s="123" t="str">
        <x:f>IF(G19=1,"완료",IF(G19&gt;0,"진행 중","예정"))</x:f>
        <x:v>완료</x:v>
      </x:c>
      <x:c r="I19" s="120" t="str"/>
      <x:c r="J19" s="120" t="str"/>
      <x:c r="K19" s="120" t="str"/>
      <x:c r="L19" s="120" t="str"/>
      <x:c r="M19" s="120" t="str"/>
      <x:c r="N19" s="120" t="str"/>
      <x:c r="O19" s="120" t="str"/>
      <x:c r="P19" s="120" t="str"/>
      <x:c r="Q19" s="120" t="str"/>
      <x:c r="R19" s="120" t="str"/>
      <x:c r="S19" s="120" t="str"/>
      <x:c r="T19" s="120" t="str"/>
      <x:c r="U19" s="120" t="str"/>
      <x:c r="V19" s="120" t="str"/>
      <x:c r="W19" s="119" t="str"/>
      <x:c r="X19" s="119" t="str"/>
      <x:c r="Y19" s="120" t="str"/>
      <x:c r="Z19" s="120" t="str"/>
      <x:c r="AA19" s="120" t="str"/>
      <x:c r="AB19" s="120" t="str"/>
      <x:c r="AC19" s="120" t="str"/>
    </x:row>
    <x:row r="20" ht="28" customHeight="1">
      <x:c r="A20" s="131" t="str">
        <x:v>개발</x:v>
      </x:c>
      <x:c r="B20" s="132" t="str">
        <x:v>예외 처리</x:v>
      </x:c>
      <x:c r="C20" s="138" t="str">
        <x:v>상품 없음·이미지 오류 시 대체 화면 출력</x:v>
      </x:c>
      <x:c r="D20" s="135" t="str"/>
      <x:c r="E20" s="141" t="n">
        <x:v>46237</x:v>
      </x:c>
      <x:c r="F20" s="141" t="n">
        <x:v>46239</x:v>
      </x:c>
      <x:c r="G20" s="144" t="n">
        <x:v>0.9</x:v>
      </x:c>
      <x:c r="H20" s="153" t="str">
        <x:f>IF(G20=1,"완료",IF(G20&gt;0,"진행 중","예정"))</x:f>
        <x:v>진행 중</x:v>
      </x:c>
      <x:c r="I20" s="120" t="str"/>
      <x:c r="J20" s="120" t="str"/>
      <x:c r="K20" s="120" t="str"/>
      <x:c r="L20" s="120" t="str"/>
      <x:c r="M20" s="120" t="str"/>
      <x:c r="N20" s="120" t="str"/>
      <x:c r="O20" s="120" t="str"/>
      <x:c r="P20" s="120" t="str"/>
      <x:c r="Q20" s="120" t="str"/>
      <x:c r="R20" s="120" t="str"/>
      <x:c r="S20" s="120" t="str"/>
      <x:c r="T20" s="120" t="str"/>
      <x:c r="U20" s="120" t="str"/>
      <x:c r="V20" s="120" t="str"/>
      <x:c r="W20" s="120" t="str"/>
      <x:c r="X20" s="120" t="str"/>
      <x:c r="Y20" s="152" t="str"/>
      <x:c r="Z20" s="152" t="str"/>
      <x:c r="AA20" s="152" t="str"/>
      <x:c r="AB20" s="120" t="str"/>
      <x:c r="AC20" s="120" t="str"/>
    </x:row>
  </x:sheetData>
  <x:mergeCells>
    <x:mergeCell ref="A1:AC1"/>
    <x:mergeCell ref="A2:AC2"/>
    <x:mergeCell ref="A4:H4"/>
    <x:mergeCell ref="I4:M4"/>
    <x:mergeCell ref="N4:R4"/>
    <x:mergeCell ref="S4:W4"/>
    <x:mergeCell ref="X4:AC4"/>
  </x:mergeCells>
  <x:dataValidations count="1">
    <x:dataValidation type="list" sqref="D6:D20">
      <x:formula1>"공동,팀장,팀원"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42" hidden="0" customWidth="1"/>
    <x:col min="4" max="4" width="10" hidden="0" customWidth="1"/>
    <x:col min="5" max="5" width="12" hidden="0" customWidth="1"/>
    <x:col min="6" max="6" width="12" hidden="0" customWidth="1"/>
    <x:col min="7" max="7" width="9" hidden="0" customWidth="1"/>
    <x:col min="8" max="8" width="11" hidden="0" customWidth="1"/>
    <x:col min="9" max="9" width="5" hidden="0" customWidth="1"/>
    <x:col min="10" max="10" width="5" hidden="0" customWidth="1"/>
    <x:col min="11" max="11" width="5" hidden="0" customWidth="1"/>
    <x:col min="12" max="12" width="5" hidden="0" customWidth="1"/>
    <x:col min="13" max="13" width="5" hidden="0" customWidth="1"/>
    <x:col min="14" max="14" width="5" hidden="0" customWidth="1"/>
    <x:col min="15" max="15" width="5" hidden="0" customWidth="1"/>
    <x:col min="16" max="16" width="5" hidden="0" customWidth="1"/>
    <x:col min="17" max="17" width="5" hidden="0" customWidth="1"/>
    <x:col min="18" max="18" width="5" hidden="0" customWidth="1"/>
    <x:col min="19" max="19" width="5" hidden="0" customWidth="1"/>
    <x:col min="20" max="20" width="5" hidden="0" customWidth="1"/>
    <x:col min="21" max="21" width="5" hidden="0" customWidth="1"/>
    <x:col min="22" max="22" width="5" hidden="0" customWidth="1"/>
    <x:col min="23" max="23" width="5" hidden="0" customWidth="1"/>
    <x:col min="24" max="24" width="5" hidden="0" customWidth="1"/>
    <x:col min="25" max="25" width="5" hidden="0" customWidth="1"/>
    <x:col min="26" max="26" width="5" hidden="0" customWidth="1"/>
    <x:col min="27" max="27" width="5" hidden="0" customWidth="1"/>
    <x:col min="28" max="28" width="5" hidden="0" customWidth="1"/>
    <x:col min="29" max="29" width="5" hidden="0" customWidth="1"/>
  </x:cols>
  <x:sheetData>
    <x:row r="1" ht="30" customHeight="1">
      <x:c r="A1" s="92" t="str">
        <x:v>COMPICK WBS | 회원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92"/>
      <x:c r="P1" s="92"/>
      <x:c r="Q1" s="92"/>
      <x:c r="R1" s="92"/>
      <x:c r="S1" s="92"/>
      <x:c r="T1" s="92"/>
      <x:c r="U1" s="92"/>
      <x:c r="V1" s="92"/>
      <x:c r="W1" s="92"/>
      <x:c r="X1" s="92"/>
      <x:c r="Y1" s="92"/>
      <x:c r="Z1" s="92"/>
      <x:c r="AA1" s="92"/>
      <x:c r="AB1" s="92"/>
      <x:c r="AC1" s="92"/>
    </x:row>
    <x:row r="2" ht="22" customHeight="1">
      <x:c r="A2" s="95" t="str">
        <x:v>기준 기간 2026-07-10 ~ 2026-08-07  ·  녹색=완료 / 주황=진행 중 / 회색=예정</x:v>
      </x:c>
      <x:c r="B2" s="95"/>
      <x:c r="C2" s="95"/>
      <x:c r="D2" s="95"/>
      <x:c r="E2" s="95"/>
      <x:c r="F2" s="95"/>
      <x:c r="G2" s="95"/>
      <x:c r="H2" s="95"/>
      <x:c r="I2" s="95"/>
      <x:c r="J2" s="95"/>
      <x:c r="K2" s="95"/>
      <x:c r="L2" s="95"/>
      <x:c r="M2" s="95"/>
      <x:c r="N2" s="95"/>
      <x:c r="O2" s="95"/>
      <x:c r="P2" s="95"/>
      <x:c r="Q2" s="95"/>
      <x:c r="R2" s="95"/>
      <x:c r="S2" s="95"/>
      <x:c r="T2" s="95"/>
      <x:c r="U2" s="95"/>
      <x:c r="V2" s="95"/>
      <x:c r="W2" s="95"/>
      <x:c r="X2" s="95"/>
      <x:c r="Y2" s="95"/>
      <x:c r="Z2" s="95"/>
      <x:c r="AA2" s="95"/>
      <x:c r="AB2" s="95"/>
      <x:c r="AC2" s="95"/>
    </x:row>
    <x:row r="4" ht="26" customHeight="1">
      <x:c r="A4" s="100" t="str">
        <x:v>업무 정보</x:v>
      </x:c>
      <x:c r="B4" s="100"/>
      <x:c r="C4" s="100"/>
      <x:c r="D4" s="100"/>
      <x:c r="E4" s="100"/>
      <x:c r="F4" s="100"/>
      <x:c r="G4" s="100"/>
      <x:c r="H4" s="100"/>
      <x:c r="I4" s="100" t="str">
        <x:v>1주차  7/10~7/16</x:v>
      </x:c>
      <x:c r="J4" s="100"/>
      <x:c r="K4" s="100"/>
      <x:c r="L4" s="100"/>
      <x:c r="M4" s="100"/>
      <x:c r="N4" s="100" t="str">
        <x:v>2주차  7/17~7/23</x:v>
      </x:c>
      <x:c r="O4" s="100"/>
      <x:c r="P4" s="100"/>
      <x:c r="Q4" s="100"/>
      <x:c r="R4" s="100"/>
      <x:c r="S4" s="100" t="str">
        <x:v>3주차  7/24~7/30</x:v>
      </x:c>
      <x:c r="T4" s="100"/>
      <x:c r="U4" s="100"/>
      <x:c r="V4" s="100"/>
      <x:c r="W4" s="100"/>
      <x:c r="X4" s="100" t="str">
        <x:v>4주차  7/31~8/07</x:v>
      </x:c>
      <x:c r="Y4" s="100"/>
      <x:c r="Z4" s="100"/>
      <x:c r="AA4" s="100"/>
      <x:c r="AB4" s="100"/>
      <x:c r="AC4" s="100"/>
    </x:row>
    <x:row r="5" ht="26" customHeight="1">
      <x:c r="A5" s="106" t="str">
        <x:v>단계</x:v>
      </x:c>
      <x:c r="B5" s="106" t="str">
        <x:v>구분</x:v>
      </x:c>
      <x:c r="C5" s="106" t="str">
        <x:v>세부 작업</x:v>
      </x:c>
      <x:c r="D5" s="106" t="str">
        <x:v>담당자</x:v>
      </x:c>
      <x:c r="E5" s="106" t="str">
        <x:v>시작일</x:v>
      </x:c>
      <x:c r="F5" s="106" t="str">
        <x:v>종료일</x:v>
      </x:c>
      <x:c r="G5" s="106" t="str">
        <x:v>완료율</x:v>
      </x:c>
      <x:c r="H5" s="106" t="str">
        <x:v>상태</x:v>
      </x:c>
      <x:c r="I5" s="145" t="n">
        <x:v>46213</x:v>
      </x:c>
      <x:c r="J5" s="145" t="n">
        <x:v>46216</x:v>
      </x:c>
      <x:c r="K5" s="145" t="n">
        <x:v>46217</x:v>
      </x:c>
      <x:c r="L5" s="145" t="n">
        <x:v>46218</x:v>
      </x:c>
      <x:c r="M5" s="145" t="n">
        <x:v>46219</x:v>
      </x:c>
      <x:c r="N5" s="145" t="n">
        <x:v>46220</x:v>
      </x:c>
      <x:c r="O5" s="145" t="n">
        <x:v>46223</x:v>
      </x:c>
      <x:c r="P5" s="145" t="n">
        <x:v>46224</x:v>
      </x:c>
      <x:c r="Q5" s="145" t="n">
        <x:v>46225</x:v>
      </x:c>
      <x:c r="R5" s="145" t="n">
        <x:v>46226</x:v>
      </x:c>
      <x:c r="S5" s="145" t="n">
        <x:v>46227</x:v>
      </x:c>
      <x:c r="T5" s="145" t="n">
        <x:v>46230</x:v>
      </x:c>
      <x:c r="U5" s="145" t="n">
        <x:v>46231</x:v>
      </x:c>
      <x:c r="V5" s="145" t="n">
        <x:v>46232</x:v>
      </x:c>
      <x:c r="W5" s="145" t="n">
        <x:v>46233</x:v>
      </x:c>
      <x:c r="X5" s="145" t="n">
        <x:v>46234</x:v>
      </x:c>
      <x:c r="Y5" s="145" t="n">
        <x:v>46237</x:v>
      </x:c>
      <x:c r="Z5" s="145" t="n">
        <x:v>46238</x:v>
      </x:c>
      <x:c r="AA5" s="145" t="n">
        <x:v>46239</x:v>
      </x:c>
      <x:c r="AB5" s="145" t="n">
        <x:v>46240</x:v>
      </x:c>
      <x:c r="AC5" s="145" t="n">
        <x:v>46241</x:v>
      </x:c>
    </x:row>
    <x:row r="6" ht="28" customHeight="1">
      <x:c r="A6" s="127" t="str">
        <x:v>개발</x:v>
      </x:c>
      <x:c r="B6" s="128" t="str">
        <x:v>DB</x:v>
      </x:c>
      <x:c r="C6" s="136" t="str">
        <x:v>회원 Entity·Repository·DTO 구성</x:v>
      </x:c>
      <x:c r="D6" s="133" t="str"/>
      <x:c r="E6" s="139" t="n">
        <x:v>46231</x:v>
      </x:c>
      <x:c r="F6" s="139" t="n">
        <x:v>46231</x:v>
      </x:c>
      <x:c r="G6" s="142" t="n">
        <x:v>1</x:v>
      </x:c>
      <x:c r="H6" s="118" t="str">
        <x:f>IF(G6=1,"완료",IF(G6&gt;0,"진행 중","예정"))</x:f>
        <x:v>완료</x:v>
      </x:c>
      <x:c r="I6" s="120" t="str"/>
      <x:c r="J6" s="120" t="str"/>
      <x:c r="K6" s="120" t="str"/>
      <x:c r="L6" s="120" t="str"/>
      <x:c r="M6" s="120" t="str"/>
      <x:c r="N6" s="120" t="str"/>
      <x:c r="O6" s="120" t="str"/>
      <x:c r="P6" s="120" t="str"/>
      <x:c r="Q6" s="120" t="str"/>
      <x:c r="R6" s="120" t="str"/>
      <x:c r="S6" s="120" t="str"/>
      <x:c r="T6" s="120" t="str"/>
      <x:c r="U6" s="119" t="str"/>
      <x:c r="V6" s="120" t="str"/>
      <x:c r="W6" s="120" t="str"/>
      <x:c r="X6" s="120" t="str"/>
      <x:c r="Y6" s="120" t="str"/>
      <x:c r="Z6" s="120" t="str"/>
      <x:c r="AA6" s="120" t="str"/>
      <x:c r="AB6" s="120" t="str"/>
      <x:c r="AC6" s="120" t="str"/>
    </x:row>
    <x:row r="7" ht="28" customHeight="1">
      <x:c r="A7" s="129" t="str">
        <x:v>개발</x:v>
      </x:c>
      <x:c r="B7" s="130" t="str">
        <x:v>회원가입</x:v>
      </x:c>
      <x:c r="C7" s="137" t="str">
        <x:v>회원가입 입력 검증·중복 검사 구현</x:v>
      </x:c>
      <x:c r="D7" s="134" t="str"/>
      <x:c r="E7" s="140" t="n">
        <x:v>46231</x:v>
      </x:c>
      <x:c r="F7" s="140" t="n">
        <x:v>46232</x:v>
      </x:c>
      <x:c r="G7" s="143" t="n">
        <x:v>1</x:v>
      </x:c>
      <x:c r="H7" s="123" t="str">
        <x:f>IF(G7=1,"완료",IF(G7&gt;0,"진행 중","예정"))</x:f>
        <x:v>완료</x:v>
      </x:c>
      <x:c r="I7" s="120" t="str"/>
      <x:c r="J7" s="120" t="str"/>
      <x:c r="K7" s="120" t="str"/>
      <x:c r="L7" s="120" t="str"/>
      <x:c r="M7" s="120" t="str"/>
      <x:c r="N7" s="120" t="str"/>
      <x:c r="O7" s="120" t="str"/>
      <x:c r="P7" s="120" t="str"/>
      <x:c r="Q7" s="120" t="str"/>
      <x:c r="R7" s="120" t="str"/>
      <x:c r="S7" s="120" t="str"/>
      <x:c r="T7" s="120" t="str"/>
      <x:c r="U7" s="119" t="str"/>
      <x:c r="V7" s="119" t="str"/>
      <x:c r="W7" s="120" t="str"/>
      <x:c r="X7" s="120" t="str"/>
      <x:c r="Y7" s="120" t="str"/>
      <x:c r="Z7" s="120" t="str"/>
      <x:c r="AA7" s="120" t="str"/>
      <x:c r="AB7" s="120" t="str"/>
      <x:c r="AC7" s="120" t="str"/>
    </x:row>
    <x:row r="8" ht="28" customHeight="1">
      <x:c r="A8" s="129" t="str">
        <x:v>개발</x:v>
      </x:c>
      <x:c r="B8" s="130" t="str">
        <x:v>인증</x:v>
      </x:c>
      <x:c r="C8" s="137" t="str">
        <x:v>비밀번호 암호화·세션 로그인 구현</x:v>
      </x:c>
      <x:c r="D8" s="134" t="str"/>
      <x:c r="E8" s="140" t="n">
        <x:v>46232</x:v>
      </x:c>
      <x:c r="F8" s="140" t="n">
        <x:v>46233</x:v>
      </x:c>
      <x:c r="G8" s="143" t="n">
        <x:v>1</x:v>
      </x:c>
      <x:c r="H8" s="123" t="str">
        <x:f>IF(G8=1,"완료",IF(G8&gt;0,"진행 중","예정"))</x:f>
        <x:v>완료</x:v>
      </x:c>
      <x:c r="I8" s="120" t="str"/>
      <x:c r="J8" s="120" t="str"/>
      <x:c r="K8" s="120" t="str"/>
      <x:c r="L8" s="120" t="str"/>
      <x:c r="M8" s="120" t="str"/>
      <x:c r="N8" s="120" t="str"/>
      <x:c r="O8" s="120" t="str"/>
      <x:c r="P8" s="120" t="str"/>
      <x:c r="Q8" s="120" t="str"/>
      <x:c r="R8" s="120" t="str"/>
      <x:c r="S8" s="120" t="str"/>
      <x:c r="T8" s="120" t="str"/>
      <x:c r="U8" s="120" t="str"/>
      <x:c r="V8" s="119" t="str"/>
      <x:c r="W8" s="119" t="str"/>
      <x:c r="X8" s="120" t="str"/>
      <x:c r="Y8" s="120" t="str"/>
      <x:c r="Z8" s="120" t="str"/>
      <x:c r="AA8" s="120" t="str"/>
      <x:c r="AB8" s="120" t="str"/>
      <x:c r="AC8" s="120" t="str"/>
    </x:row>
    <x:row r="9" ht="28" customHeight="1">
      <x:c r="A9" s="129" t="str">
        <x:v>개발</x:v>
      </x:c>
      <x:c r="B9" s="130" t="str">
        <x:v>인증</x:v>
      </x:c>
      <x:c r="C9" s="137" t="str">
        <x:v>로그아웃·인증 접근 제어 구현</x:v>
      </x:c>
      <x:c r="D9" s="134" t="str"/>
      <x:c r="E9" s="140" t="n">
        <x:v>46233</x:v>
      </x:c>
      <x:c r="F9" s="140" t="n">
        <x:v>46234</x:v>
      </x:c>
      <x:c r="G9" s="143" t="n">
        <x:v>1</x:v>
      </x:c>
      <x:c r="H9" s="123" t="str">
        <x:f>IF(G9=1,"완료",IF(G9&gt;0,"진행 중","예정"))</x:f>
        <x:v>완료</x:v>
      </x:c>
      <x:c r="I9" s="120" t="str"/>
      <x:c r="J9" s="120" t="str"/>
      <x:c r="K9" s="120" t="str"/>
      <x:c r="L9" s="120" t="str"/>
      <x:c r="M9" s="120" t="str"/>
      <x:c r="N9" s="120" t="str"/>
      <x:c r="O9" s="120" t="str"/>
      <x:c r="P9" s="120" t="str"/>
      <x:c r="Q9" s="120" t="str"/>
      <x:c r="R9" s="120" t="str"/>
      <x:c r="S9" s="120" t="str"/>
      <x:c r="T9" s="120" t="str"/>
      <x:c r="U9" s="120" t="str"/>
      <x:c r="V9" s="120" t="str"/>
      <x:c r="W9" s="119" t="str"/>
      <x:c r="X9" s="119" t="str"/>
      <x:c r="Y9" s="120" t="str"/>
      <x:c r="Z9" s="120" t="str"/>
      <x:c r="AA9" s="120" t="str"/>
      <x:c r="AB9" s="120" t="str"/>
      <x:c r="AC9" s="120" t="str"/>
    </x:row>
    <x:row r="10" ht="28" customHeight="1">
      <x:c r="A10" s="129" t="str">
        <x:v>개발</x:v>
      </x:c>
      <x:c r="B10" s="130" t="str">
        <x:v>OAuth</x:v>
      </x:c>
      <x:c r="C10" s="137" t="str">
        <x:v>Google OAuth 로그인 연동</x:v>
      </x:c>
      <x:c r="D10" s="134" t="str"/>
      <x:c r="E10" s="140" t="n">
        <x:v>46233</x:v>
      </x:c>
      <x:c r="F10" s="140" t="n">
        <x:v>46237</x:v>
      </x:c>
      <x:c r="G10" s="143" t="n">
        <x:v>1</x:v>
      </x:c>
      <x:c r="H10" s="123" t="str">
        <x:f>IF(G10=1,"완료",IF(G10&gt;0,"진행 중","예정"))</x:f>
        <x:v>완료</x:v>
      </x:c>
      <x:c r="I10" s="120" t="str"/>
      <x:c r="J10" s="120" t="str"/>
      <x:c r="K10" s="120" t="str"/>
      <x:c r="L10" s="120" t="str"/>
      <x:c r="M10" s="120" t="str"/>
      <x:c r="N10" s="120" t="str"/>
      <x:c r="O10" s="120" t="str"/>
      <x:c r="P10" s="120" t="str"/>
      <x:c r="Q10" s="120" t="str"/>
      <x:c r="R10" s="120" t="str"/>
      <x:c r="S10" s="120" t="str"/>
      <x:c r="T10" s="120" t="str"/>
      <x:c r="U10" s="120" t="str"/>
      <x:c r="V10" s="120" t="str"/>
      <x:c r="W10" s="119" t="str"/>
      <x:c r="X10" s="119" t="str"/>
      <x:c r="Y10" s="119" t="str"/>
      <x:c r="Z10" s="120" t="str"/>
      <x:c r="AA10" s="120" t="str"/>
      <x:c r="AB10" s="120" t="str"/>
      <x:c r="AC10" s="120" t="str"/>
    </x:row>
    <x:row r="11" ht="28" customHeight="1">
      <x:c r="A11" s="129" t="str">
        <x:v>개발</x:v>
      </x:c>
      <x:c r="B11" s="130" t="str">
        <x:v>마이페이지</x:v>
      </x:c>
      <x:c r="C11" s="137" t="str">
        <x:v>회원 정보·보유 견적·주문 내역 화면</x:v>
      </x:c>
      <x:c r="D11" s="134" t="str"/>
      <x:c r="E11" s="140" t="n">
        <x:v>46237</x:v>
      </x:c>
      <x:c r="F11" s="140" t="n">
        <x:v>46238</x:v>
      </x:c>
      <x:c r="G11" s="143" t="n">
        <x:v>1</x:v>
      </x:c>
      <x:c r="H11" s="123" t="str">
        <x:f>IF(G11=1,"완료",IF(G11&gt;0,"진행 중","예정"))</x:f>
        <x:v>완료</x:v>
      </x:c>
      <x:c r="I11" s="120" t="str"/>
      <x:c r="J11" s="120" t="str"/>
      <x:c r="K11" s="120" t="str"/>
      <x:c r="L11" s="120" t="str"/>
      <x:c r="M11" s="120" t="str"/>
      <x:c r="N11" s="120" t="str"/>
      <x:c r="O11" s="120" t="str"/>
      <x:c r="P11" s="120" t="str"/>
      <x:c r="Q11" s="120" t="str"/>
      <x:c r="R11" s="120" t="str"/>
      <x:c r="S11" s="120" t="str"/>
      <x:c r="T11" s="120" t="str"/>
      <x:c r="U11" s="120" t="str"/>
      <x:c r="V11" s="120" t="str"/>
      <x:c r="W11" s="120" t="str"/>
      <x:c r="X11" s="120" t="str"/>
      <x:c r="Y11" s="119" t="str"/>
      <x:c r="Z11" s="119" t="str"/>
      <x:c r="AA11" s="120" t="str"/>
      <x:c r="AB11" s="120" t="str"/>
      <x:c r="AC11" s="120" t="str"/>
    </x:row>
    <x:row r="12" ht="28" customHeight="1">
      <x:c r="A12" s="129" t="str">
        <x:v>개발</x:v>
      </x:c>
      <x:c r="B12" s="130" t="str">
        <x:v>계정</x:v>
      </x:c>
      <x:c r="C12" s="137" t="str">
        <x:v>아이디·비밀번호 찾기 처리</x:v>
      </x:c>
      <x:c r="D12" s="134" t="str"/>
      <x:c r="E12" s="140" t="n">
        <x:v>46237</x:v>
      </x:c>
      <x:c r="F12" s="140" t="n">
        <x:v>46239</x:v>
      </x:c>
      <x:c r="G12" s="143" t="n">
        <x:v>0.85</x:v>
      </x:c>
      <x:c r="H12" s="151" t="str">
        <x:f>IF(G12=1,"완료",IF(G12&gt;0,"진행 중","예정"))</x:f>
        <x:v>진행 중</x:v>
      </x:c>
      <x:c r="I12" s="120" t="str"/>
      <x:c r="J12" s="120" t="str"/>
      <x:c r="K12" s="120" t="str"/>
      <x:c r="L12" s="120" t="str"/>
      <x:c r="M12" s="120" t="str"/>
      <x:c r="N12" s="120" t="str"/>
      <x:c r="O12" s="120" t="str"/>
      <x:c r="P12" s="120" t="str"/>
      <x:c r="Q12" s="120" t="str"/>
      <x:c r="R12" s="120" t="str"/>
      <x:c r="S12" s="120" t="str"/>
      <x:c r="T12" s="120" t="str"/>
      <x:c r="U12" s="120" t="str"/>
      <x:c r="V12" s="120" t="str"/>
      <x:c r="W12" s="120" t="str"/>
      <x:c r="X12" s="120" t="str"/>
      <x:c r="Y12" s="152" t="str"/>
      <x:c r="Z12" s="152" t="str"/>
      <x:c r="AA12" s="152" t="str"/>
      <x:c r="AB12" s="120" t="str"/>
      <x:c r="AC12" s="120" t="str"/>
    </x:row>
    <x:row r="13" ht="28" customHeight="1">
      <x:c r="A13" s="129" t="str">
        <x:v>테스트</x:v>
      </x:c>
      <x:c r="B13" s="130" t="str">
        <x:v>회원</x:v>
      </x:c>
      <x:c r="C13" s="137" t="str">
        <x:v>가입·로그인·OAuth·권한 예외 테스트</x:v>
      </x:c>
      <x:c r="D13" s="134" t="str"/>
      <x:c r="E13" s="140" t="n">
        <x:v>46239</x:v>
      </x:c>
      <x:c r="F13" s="140" t="n">
        <x:v>46240</x:v>
      </x:c>
      <x:c r="G13" s="143" t="n">
        <x:v>0.9</x:v>
      </x:c>
      <x:c r="H13" s="151" t="str">
        <x:f>IF(G13=1,"완료",IF(G13&gt;0,"진행 중","예정"))</x:f>
        <x:v>진행 중</x:v>
      </x:c>
      <x:c r="I13" s="120" t="str"/>
      <x:c r="J13" s="120" t="str"/>
      <x:c r="K13" s="120" t="str"/>
      <x:c r="L13" s="120" t="str"/>
      <x:c r="M13" s="120" t="str"/>
      <x:c r="N13" s="120" t="str"/>
      <x:c r="O13" s="120" t="str"/>
      <x:c r="P13" s="120" t="str"/>
      <x:c r="Q13" s="120" t="str"/>
      <x:c r="R13" s="120" t="str"/>
      <x:c r="S13" s="120" t="str"/>
      <x:c r="T13" s="120" t="str"/>
      <x:c r="U13" s="120" t="str"/>
      <x:c r="V13" s="120" t="str"/>
      <x:c r="W13" s="120" t="str"/>
      <x:c r="X13" s="120" t="str"/>
      <x:c r="Y13" s="120" t="str"/>
      <x:c r="Z13" s="120" t="str"/>
      <x:c r="AA13" s="152" t="str"/>
      <x:c r="AB13" s="152" t="str"/>
      <x:c r="AC13" s="120" t="str"/>
    </x:row>
    <x:row r="14" ht="28" customHeight="1">
      <x:c r="A14" s="129" t="str">
        <x:v>개발</x:v>
      </x:c>
      <x:c r="B14" s="130" t="str">
        <x:v>Controller</x:v>
      </x:c>
      <x:c r="C14" s="137" t="str">
        <x:v>회원가입·로그인·로그아웃 요청 처리</x:v>
      </x:c>
      <x:c r="D14" s="134" t="str"/>
      <x:c r="E14" s="140" t="n">
        <x:v>46231</x:v>
      </x:c>
      <x:c r="F14" s="140" t="n">
        <x:v>46233</x:v>
      </x:c>
      <x:c r="G14" s="143" t="n">
        <x:v>1</x:v>
      </x:c>
      <x:c r="H14" s="123" t="str">
        <x:f>IF(G14=1,"완료",IF(G14&gt;0,"진행 중","예정"))</x:f>
        <x:v>완료</x:v>
      </x:c>
      <x:c r="I14" s="120" t="str"/>
      <x:c r="J14" s="120" t="str"/>
      <x:c r="K14" s="120" t="str"/>
      <x:c r="L14" s="120" t="str"/>
      <x:c r="M14" s="120" t="str"/>
      <x:c r="N14" s="120" t="str"/>
      <x:c r="O14" s="120" t="str"/>
      <x:c r="P14" s="120" t="str"/>
      <x:c r="Q14" s="120" t="str"/>
      <x:c r="R14" s="120" t="str"/>
      <x:c r="S14" s="120" t="str"/>
      <x:c r="T14" s="120" t="str"/>
      <x:c r="U14" s="119" t="str"/>
      <x:c r="V14" s="119" t="str"/>
      <x:c r="W14" s="119" t="str"/>
      <x:c r="X14" s="120" t="str"/>
      <x:c r="Y14" s="120" t="str"/>
      <x:c r="Z14" s="120" t="str"/>
      <x:c r="AA14" s="120" t="str"/>
      <x:c r="AB14" s="120" t="str"/>
      <x:c r="AC14" s="120" t="str"/>
    </x:row>
    <x:row r="15" ht="28" customHeight="1">
      <x:c r="A15" s="129" t="str">
        <x:v>개발</x:v>
      </x:c>
      <x:c r="B15" s="130" t="str">
        <x:v>Service</x:v>
      </x:c>
      <x:c r="C15" s="137" t="str">
        <x:v>회원 생성·중복 확인·인증 로직</x:v>
      </x:c>
      <x:c r="D15" s="134" t="str"/>
      <x:c r="E15" s="140" t="n">
        <x:v>46231</x:v>
      </x:c>
      <x:c r="F15" s="140" t="n">
        <x:v>46233</x:v>
      </x:c>
      <x:c r="G15" s="143" t="n">
        <x:v>1</x:v>
      </x:c>
      <x:c r="H15" s="123" t="str">
        <x:f>IF(G15=1,"완료",IF(G15&gt;0,"진행 중","예정"))</x:f>
        <x:v>완료</x:v>
      </x:c>
      <x:c r="I15" s="120" t="str"/>
      <x:c r="J15" s="120" t="str"/>
      <x:c r="K15" s="120" t="str"/>
      <x:c r="L15" s="120" t="str"/>
      <x:c r="M15" s="120" t="str"/>
      <x:c r="N15" s="120" t="str"/>
      <x:c r="O15" s="120" t="str"/>
      <x:c r="P15" s="120" t="str"/>
      <x:c r="Q15" s="120" t="str"/>
      <x:c r="R15" s="120" t="str"/>
      <x:c r="S15" s="120" t="str"/>
      <x:c r="T15" s="120" t="str"/>
      <x:c r="U15" s="119" t="str"/>
      <x:c r="V15" s="119" t="str"/>
      <x:c r="W15" s="119" t="str"/>
      <x:c r="X15" s="120" t="str"/>
      <x:c r="Y15" s="120" t="str"/>
      <x:c r="Z15" s="120" t="str"/>
      <x:c r="AA15" s="120" t="str"/>
      <x:c r="AB15" s="120" t="str"/>
      <x:c r="AC15" s="120" t="str"/>
    </x:row>
    <x:row r="16" ht="28" customHeight="1">
      <x:c r="A16" s="129" t="str">
        <x:v>개발</x:v>
      </x:c>
      <x:c r="B16" s="130" t="str">
        <x:v>Repository</x:v>
      </x:c>
      <x:c r="C16" s="137" t="str">
        <x:v>이메일·아이디 기반 회원 조회</x:v>
      </x:c>
      <x:c r="D16" s="134" t="str"/>
      <x:c r="E16" s="140" t="n">
        <x:v>46231</x:v>
      </x:c>
      <x:c r="F16" s="140" t="n">
        <x:v>46232</x:v>
      </x:c>
      <x:c r="G16" s="143" t="n">
        <x:v>1</x:v>
      </x:c>
      <x:c r="H16" s="123" t="str">
        <x:f>IF(G16=1,"완료",IF(G16&gt;0,"진행 중","예정"))</x:f>
        <x:v>완료</x:v>
      </x:c>
      <x:c r="I16" s="120" t="str"/>
      <x:c r="J16" s="120" t="str"/>
      <x:c r="K16" s="120" t="str"/>
      <x:c r="L16" s="120" t="str"/>
      <x:c r="M16" s="120" t="str"/>
      <x:c r="N16" s="120" t="str"/>
      <x:c r="O16" s="120" t="str"/>
      <x:c r="P16" s="120" t="str"/>
      <x:c r="Q16" s="120" t="str"/>
      <x:c r="R16" s="120" t="str"/>
      <x:c r="S16" s="120" t="str"/>
      <x:c r="T16" s="120" t="str"/>
      <x:c r="U16" s="119" t="str"/>
      <x:c r="V16" s="119" t="str"/>
      <x:c r="W16" s="120" t="str"/>
      <x:c r="X16" s="120" t="str"/>
      <x:c r="Y16" s="120" t="str"/>
      <x:c r="Z16" s="120" t="str"/>
      <x:c r="AA16" s="120" t="str"/>
      <x:c r="AB16" s="120" t="str"/>
      <x:c r="AC16" s="120" t="str"/>
    </x:row>
    <x:row r="17" ht="28" customHeight="1">
      <x:c r="A17" s="129" t="str">
        <x:v>개발</x:v>
      </x:c>
      <x:c r="B17" s="130" t="str">
        <x:v>Security</x:v>
      </x:c>
      <x:c r="C17" s="137" t="str">
        <x:v>비밀번호 해시·세션 사용자 저장</x:v>
      </x:c>
      <x:c r="D17" s="134" t="str"/>
      <x:c r="E17" s="140" t="n">
        <x:v>46232</x:v>
      </x:c>
      <x:c r="F17" s="140" t="n">
        <x:v>46234</x:v>
      </x:c>
      <x:c r="G17" s="143" t="n">
        <x:v>1</x:v>
      </x:c>
      <x:c r="H17" s="123" t="str">
        <x:f>IF(G17=1,"완료",IF(G17&gt;0,"진행 중","예정"))</x:f>
        <x:v>완료</x:v>
      </x:c>
      <x:c r="I17" s="120" t="str"/>
      <x:c r="J17" s="120" t="str"/>
      <x:c r="K17" s="120" t="str"/>
      <x:c r="L17" s="120" t="str"/>
      <x:c r="M17" s="120" t="str"/>
      <x:c r="N17" s="120" t="str"/>
      <x:c r="O17" s="120" t="str"/>
      <x:c r="P17" s="120" t="str"/>
      <x:c r="Q17" s="120" t="str"/>
      <x:c r="R17" s="120" t="str"/>
      <x:c r="S17" s="120" t="str"/>
      <x:c r="T17" s="120" t="str"/>
      <x:c r="U17" s="120" t="str"/>
      <x:c r="V17" s="119" t="str"/>
      <x:c r="W17" s="119" t="str"/>
      <x:c r="X17" s="119" t="str"/>
      <x:c r="Y17" s="120" t="str"/>
      <x:c r="Z17" s="120" t="str"/>
      <x:c r="AA17" s="120" t="str"/>
      <x:c r="AB17" s="120" t="str"/>
      <x:c r="AC17" s="120" t="str"/>
    </x:row>
    <x:row r="18" ht="28" customHeight="1">
      <x:c r="A18" s="129" t="str">
        <x:v>개발</x:v>
      </x:c>
      <x:c r="B18" s="130" t="str">
        <x:v>OAuth</x:v>
      </x:c>
      <x:c r="C18" s="137" t="str">
        <x:v>Google 사용자 정보 수신·기존 회원 연결</x:v>
      </x:c>
      <x:c r="D18" s="134" t="str"/>
      <x:c r="E18" s="140" t="n">
        <x:v>46234</x:v>
      </x:c>
      <x:c r="F18" s="140" t="n">
        <x:v>46237</x:v>
      </x:c>
      <x:c r="G18" s="143" t="n">
        <x:v>1</x:v>
      </x:c>
      <x:c r="H18" s="123" t="str">
        <x:f>IF(G18=1,"완료",IF(G18&gt;0,"진행 중","예정"))</x:f>
        <x:v>완료</x:v>
      </x:c>
      <x:c r="I18" s="120" t="str"/>
      <x:c r="J18" s="120" t="str"/>
      <x:c r="K18" s="120" t="str"/>
      <x:c r="L18" s="120" t="str"/>
      <x:c r="M18" s="120" t="str"/>
      <x:c r="N18" s="120" t="str"/>
      <x:c r="O18" s="120" t="str"/>
      <x:c r="P18" s="120" t="str"/>
      <x:c r="Q18" s="120" t="str"/>
      <x:c r="R18" s="120" t="str"/>
      <x:c r="S18" s="120" t="str"/>
      <x:c r="T18" s="120" t="str"/>
      <x:c r="U18" s="120" t="str"/>
      <x:c r="V18" s="120" t="str"/>
      <x:c r="W18" s="120" t="str"/>
      <x:c r="X18" s="119" t="str"/>
      <x:c r="Y18" s="119" t="str"/>
      <x:c r="Z18" s="120" t="str"/>
      <x:c r="AA18" s="120" t="str"/>
      <x:c r="AB18" s="120" t="str"/>
      <x:c r="AC18" s="120" t="str"/>
    </x:row>
    <x:row r="19" ht="28" customHeight="1">
      <x:c r="A19" s="131" t="str">
        <x:v>개발</x:v>
      </x:c>
      <x:c r="B19" s="132" t="str">
        <x:v>예외 처리</x:v>
      </x:c>
      <x:c r="C19" s="138" t="str">
        <x:v>비밀번호 불일치·중복 회원·권한 오류 처리</x:v>
      </x:c>
      <x:c r="D19" s="135" t="str"/>
      <x:c r="E19" s="141" t="n">
        <x:v>46238</x:v>
      </x:c>
      <x:c r="F19" s="141" t="n">
        <x:v>46240</x:v>
      </x:c>
      <x:c r="G19" s="144" t="n">
        <x:v>0.9</x:v>
      </x:c>
      <x:c r="H19" s="153" t="str">
        <x:f>IF(G19=1,"완료",IF(G19&gt;0,"진행 중","예정"))</x:f>
        <x:v>진행 중</x:v>
      </x:c>
      <x:c r="I19" s="120" t="str"/>
      <x:c r="J19" s="120" t="str"/>
      <x:c r="K19" s="120" t="str"/>
      <x:c r="L19" s="120" t="str"/>
      <x:c r="M19" s="120" t="str"/>
      <x:c r="N19" s="120" t="str"/>
      <x:c r="O19" s="120" t="str"/>
      <x:c r="P19" s="120" t="str"/>
      <x:c r="Q19" s="120" t="str"/>
      <x:c r="R19" s="120" t="str"/>
      <x:c r="S19" s="120" t="str"/>
      <x:c r="T19" s="120" t="str"/>
      <x:c r="U19" s="120" t="str"/>
      <x:c r="V19" s="120" t="str"/>
      <x:c r="W19" s="120" t="str"/>
      <x:c r="X19" s="120" t="str"/>
      <x:c r="Y19" s="120" t="str"/>
      <x:c r="Z19" s="152" t="str"/>
      <x:c r="AA19" s="152" t="str"/>
      <x:c r="AB19" s="152" t="str"/>
      <x:c r="AC19" s="120" t="str"/>
    </x:row>
  </x:sheetData>
  <x:mergeCells>
    <x:mergeCell ref="A1:AC1"/>
    <x:mergeCell ref="A2:AC2"/>
    <x:mergeCell ref="A4:H4"/>
    <x:mergeCell ref="I4:M4"/>
    <x:mergeCell ref="N4:R4"/>
    <x:mergeCell ref="S4:W4"/>
    <x:mergeCell ref="X4:AC4"/>
  </x:mergeCells>
  <x:dataValidations count="1">
    <x:dataValidation type="list" sqref="D6:D19">
      <x:formula1>"공동,팀장,팀원"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42" hidden="0" customWidth="1"/>
    <x:col min="4" max="4" width="10" hidden="0" customWidth="1"/>
    <x:col min="5" max="5" width="12" hidden="0" customWidth="1"/>
    <x:col min="6" max="6" width="12" hidden="0" customWidth="1"/>
    <x:col min="7" max="7" width="9" hidden="0" customWidth="1"/>
    <x:col min="8" max="8" width="11" hidden="0" customWidth="1"/>
    <x:col min="9" max="9" width="5" hidden="0" customWidth="1"/>
    <x:col min="10" max="10" width="5" hidden="0" customWidth="1"/>
    <x:col min="11" max="11" width="5" hidden="0" customWidth="1"/>
    <x:col min="12" max="12" width="5" hidden="0" customWidth="1"/>
    <x:col min="13" max="13" width="5" hidden="0" customWidth="1"/>
    <x:col min="14" max="14" width="5" hidden="0" customWidth="1"/>
    <x:col min="15" max="15" width="5" hidden="0" customWidth="1"/>
    <x:col min="16" max="16" width="5" hidden="0" customWidth="1"/>
    <x:col min="17" max="17" width="5" hidden="0" customWidth="1"/>
    <x:col min="18" max="18" width="5" hidden="0" customWidth="1"/>
    <x:col min="19" max="19" width="5" hidden="0" customWidth="1"/>
    <x:col min="20" max="20" width="5" hidden="0" customWidth="1"/>
    <x:col min="21" max="21" width="5" hidden="0" customWidth="1"/>
    <x:col min="22" max="22" width="5" hidden="0" customWidth="1"/>
    <x:col min="23" max="23" width="5" hidden="0" customWidth="1"/>
    <x:col min="24" max="24" width="5" hidden="0" customWidth="1"/>
    <x:col min="25" max="25" width="5" hidden="0" customWidth="1"/>
    <x:col min="26" max="26" width="5" hidden="0" customWidth="1"/>
    <x:col min="27" max="27" width="5" hidden="0" customWidth="1"/>
    <x:col min="28" max="28" width="5" hidden="0" customWidth="1"/>
    <x:col min="29" max="29" width="5" hidden="0" customWidth="1"/>
  </x:cols>
  <x:sheetData>
    <x:row r="1" ht="30" customHeight="1">
      <x:c r="A1" s="92" t="str">
        <x:v>COMPICK WBS | 견적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92"/>
      <x:c r="P1" s="92"/>
      <x:c r="Q1" s="92"/>
      <x:c r="R1" s="92"/>
      <x:c r="S1" s="92"/>
      <x:c r="T1" s="92"/>
      <x:c r="U1" s="92"/>
      <x:c r="V1" s="92"/>
      <x:c r="W1" s="92"/>
      <x:c r="X1" s="92"/>
      <x:c r="Y1" s="92"/>
      <x:c r="Z1" s="92"/>
      <x:c r="AA1" s="92"/>
      <x:c r="AB1" s="92"/>
      <x:c r="AC1" s="92"/>
    </x:row>
    <x:row r="2" ht="22" customHeight="1">
      <x:c r="A2" s="95" t="str">
        <x:v>기준 기간 2026-07-10 ~ 2026-08-07  ·  녹색=완료 / 주황=진행 중 / 회색=예정</x:v>
      </x:c>
      <x:c r="B2" s="95"/>
      <x:c r="C2" s="95"/>
      <x:c r="D2" s="95"/>
      <x:c r="E2" s="95"/>
      <x:c r="F2" s="95"/>
      <x:c r="G2" s="95"/>
      <x:c r="H2" s="95"/>
      <x:c r="I2" s="95"/>
      <x:c r="J2" s="95"/>
      <x:c r="K2" s="95"/>
      <x:c r="L2" s="95"/>
      <x:c r="M2" s="95"/>
      <x:c r="N2" s="95"/>
      <x:c r="O2" s="95"/>
      <x:c r="P2" s="95"/>
      <x:c r="Q2" s="95"/>
      <x:c r="R2" s="95"/>
      <x:c r="S2" s="95"/>
      <x:c r="T2" s="95"/>
      <x:c r="U2" s="95"/>
      <x:c r="V2" s="95"/>
      <x:c r="W2" s="95"/>
      <x:c r="X2" s="95"/>
      <x:c r="Y2" s="95"/>
      <x:c r="Z2" s="95"/>
      <x:c r="AA2" s="95"/>
      <x:c r="AB2" s="95"/>
      <x:c r="AC2" s="95"/>
    </x:row>
    <x:row r="4" ht="26" customHeight="1">
      <x:c r="A4" s="100" t="str">
        <x:v>업무 정보</x:v>
      </x:c>
      <x:c r="B4" s="100"/>
      <x:c r="C4" s="100"/>
      <x:c r="D4" s="100"/>
      <x:c r="E4" s="100"/>
      <x:c r="F4" s="100"/>
      <x:c r="G4" s="100"/>
      <x:c r="H4" s="100"/>
      <x:c r="I4" s="100" t="str">
        <x:v>1주차  7/10~7/16</x:v>
      </x:c>
      <x:c r="J4" s="100"/>
      <x:c r="K4" s="100"/>
      <x:c r="L4" s="100"/>
      <x:c r="M4" s="100"/>
      <x:c r="N4" s="100" t="str">
        <x:v>2주차  7/17~7/23</x:v>
      </x:c>
      <x:c r="O4" s="100"/>
      <x:c r="P4" s="100"/>
      <x:c r="Q4" s="100"/>
      <x:c r="R4" s="100"/>
      <x:c r="S4" s="100" t="str">
        <x:v>3주차  7/24~7/30</x:v>
      </x:c>
      <x:c r="T4" s="100"/>
      <x:c r="U4" s="100"/>
      <x:c r="V4" s="100"/>
      <x:c r="W4" s="100"/>
      <x:c r="X4" s="100" t="str">
        <x:v>4주차  7/31~8/07</x:v>
      </x:c>
      <x:c r="Y4" s="100"/>
      <x:c r="Z4" s="100"/>
      <x:c r="AA4" s="100"/>
      <x:c r="AB4" s="100"/>
      <x:c r="AC4" s="100"/>
    </x:row>
    <x:row r="5" ht="26" customHeight="1">
      <x:c r="A5" s="106" t="str">
        <x:v>단계</x:v>
      </x:c>
      <x:c r="B5" s="106" t="str">
        <x:v>구분</x:v>
      </x:c>
      <x:c r="C5" s="106" t="str">
        <x:v>세부 작업</x:v>
      </x:c>
      <x:c r="D5" s="106" t="str">
        <x:v>담당자</x:v>
      </x:c>
      <x:c r="E5" s="106" t="str">
        <x:v>시작일</x:v>
      </x:c>
      <x:c r="F5" s="106" t="str">
        <x:v>종료일</x:v>
      </x:c>
      <x:c r="G5" s="106" t="str">
        <x:v>완료율</x:v>
      </x:c>
      <x:c r="H5" s="106" t="str">
        <x:v>상태</x:v>
      </x:c>
      <x:c r="I5" s="145" t="n">
        <x:v>46213</x:v>
      </x:c>
      <x:c r="J5" s="145" t="n">
        <x:v>46216</x:v>
      </x:c>
      <x:c r="K5" s="145" t="n">
        <x:v>46217</x:v>
      </x:c>
      <x:c r="L5" s="145" t="n">
        <x:v>46218</x:v>
      </x:c>
      <x:c r="M5" s="145" t="n">
        <x:v>46219</x:v>
      </x:c>
      <x:c r="N5" s="145" t="n">
        <x:v>46220</x:v>
      </x:c>
      <x:c r="O5" s="145" t="n">
        <x:v>46223</x:v>
      </x:c>
      <x:c r="P5" s="145" t="n">
        <x:v>46224</x:v>
      </x:c>
      <x:c r="Q5" s="145" t="n">
        <x:v>46225</x:v>
      </x:c>
      <x:c r="R5" s="145" t="n">
        <x:v>46226</x:v>
      </x:c>
      <x:c r="S5" s="145" t="n">
        <x:v>46227</x:v>
      </x:c>
      <x:c r="T5" s="145" t="n">
        <x:v>46230</x:v>
      </x:c>
      <x:c r="U5" s="145" t="n">
        <x:v>46231</x:v>
      </x:c>
      <x:c r="V5" s="145" t="n">
        <x:v>46232</x:v>
      </x:c>
      <x:c r="W5" s="145" t="n">
        <x:v>46233</x:v>
      </x:c>
      <x:c r="X5" s="145" t="n">
        <x:v>46234</x:v>
      </x:c>
      <x:c r="Y5" s="145" t="n">
        <x:v>46237</x:v>
      </x:c>
      <x:c r="Z5" s="145" t="n">
        <x:v>46238</x:v>
      </x:c>
      <x:c r="AA5" s="145" t="n">
        <x:v>46239</x:v>
      </x:c>
      <x:c r="AB5" s="145" t="n">
        <x:v>46240</x:v>
      </x:c>
      <x:c r="AC5" s="145" t="n">
        <x:v>46241</x:v>
      </x:c>
    </x:row>
    <x:row r="6" ht="28" customHeight="1">
      <x:c r="A6" s="127" t="str">
        <x:v>개발</x:v>
      </x:c>
      <x:c r="B6" s="128" t="str">
        <x:v>직접 견적</x:v>
      </x:c>
      <x:c r="C6" s="136" t="str">
        <x:v>카테고리별 상품·스펙 조회</x:v>
      </x:c>
      <x:c r="D6" s="133" t="str"/>
      <x:c r="E6" s="139" t="n">
        <x:v>46232</x:v>
      </x:c>
      <x:c r="F6" s="139" t="n">
        <x:v>46233</x:v>
      </x:c>
      <x:c r="G6" s="142" t="n">
        <x:v>1</x:v>
      </x:c>
      <x:c r="H6" s="118" t="str">
        <x:f>IF(G6=1,"완료",IF(G6&gt;0,"진행 중","예정"))</x:f>
        <x:v>완료</x:v>
      </x:c>
      <x:c r="I6" s="120" t="str"/>
      <x:c r="J6" s="120" t="str"/>
      <x:c r="K6" s="120" t="str"/>
      <x:c r="L6" s="120" t="str"/>
      <x:c r="M6" s="120" t="str"/>
      <x:c r="N6" s="120" t="str"/>
      <x:c r="O6" s="120" t="str"/>
      <x:c r="P6" s="120" t="str"/>
      <x:c r="Q6" s="120" t="str"/>
      <x:c r="R6" s="120" t="str"/>
      <x:c r="S6" s="120" t="str"/>
      <x:c r="T6" s="120" t="str"/>
      <x:c r="U6" s="120" t="str"/>
      <x:c r="V6" s="119" t="str"/>
      <x:c r="W6" s="119" t="str"/>
      <x:c r="X6" s="120" t="str"/>
      <x:c r="Y6" s="120" t="str"/>
      <x:c r="Z6" s="120" t="str"/>
      <x:c r="AA6" s="120" t="str"/>
      <x:c r="AB6" s="120" t="str"/>
      <x:c r="AC6" s="120" t="str"/>
    </x:row>
    <x:row r="7" ht="28" customHeight="1">
      <x:c r="A7" s="129" t="str">
        <x:v>개발</x:v>
      </x:c>
      <x:c r="B7" s="130" t="str">
        <x:v>직접 견적</x:v>
      </x:c>
      <x:c r="C7" s="137" t="str">
        <x:v>부품 선택·교체·제거 상태 처리</x:v>
      </x:c>
      <x:c r="D7" s="134" t="str"/>
      <x:c r="E7" s="140" t="n">
        <x:v>46232</x:v>
      </x:c>
      <x:c r="F7" s="140" t="n">
        <x:v>46234</x:v>
      </x:c>
      <x:c r="G7" s="143" t="n">
        <x:v>1</x:v>
      </x:c>
      <x:c r="H7" s="123" t="str">
        <x:f>IF(G7=1,"완료",IF(G7&gt;0,"진행 중","예정"))</x:f>
        <x:v>완료</x:v>
      </x:c>
      <x:c r="I7" s="120" t="str"/>
      <x:c r="J7" s="120" t="str"/>
      <x:c r="K7" s="120" t="str"/>
      <x:c r="L7" s="120" t="str"/>
      <x:c r="M7" s="120" t="str"/>
      <x:c r="N7" s="120" t="str"/>
      <x:c r="O7" s="120" t="str"/>
      <x:c r="P7" s="120" t="str"/>
      <x:c r="Q7" s="120" t="str"/>
      <x:c r="R7" s="120" t="str"/>
      <x:c r="S7" s="120" t="str"/>
      <x:c r="T7" s="120" t="str"/>
      <x:c r="U7" s="120" t="str"/>
      <x:c r="V7" s="119" t="str"/>
      <x:c r="W7" s="119" t="str"/>
      <x:c r="X7" s="119" t="str"/>
      <x:c r="Y7" s="120" t="str"/>
      <x:c r="Z7" s="120" t="str"/>
      <x:c r="AA7" s="120" t="str"/>
      <x:c r="AB7" s="120" t="str"/>
      <x:c r="AC7" s="120" t="str"/>
    </x:row>
    <x:row r="8" ht="28" customHeight="1">
      <x:c r="A8" s="129" t="str">
        <x:v>개발</x:v>
      </x:c>
      <x:c r="B8" s="130" t="str">
        <x:v>직접 견적</x:v>
      </x:c>
      <x:c r="C8" s="137" t="str">
        <x:v>RAM·SSD·HDD 수량 변경</x:v>
      </x:c>
      <x:c r="D8" s="134" t="str"/>
      <x:c r="E8" s="140" t="n">
        <x:v>46233</x:v>
      </x:c>
      <x:c r="F8" s="140" t="n">
        <x:v>46234</x:v>
      </x:c>
      <x:c r="G8" s="143" t="n">
        <x:v>1</x:v>
      </x:c>
      <x:c r="H8" s="123" t="str">
        <x:f>IF(G8=1,"완료",IF(G8&gt;0,"진행 중","예정"))</x:f>
        <x:v>완료</x:v>
      </x:c>
      <x:c r="I8" s="120" t="str"/>
      <x:c r="J8" s="120" t="str"/>
      <x:c r="K8" s="120" t="str"/>
      <x:c r="L8" s="120" t="str"/>
      <x:c r="M8" s="120" t="str"/>
      <x:c r="N8" s="120" t="str"/>
      <x:c r="O8" s="120" t="str"/>
      <x:c r="P8" s="120" t="str"/>
      <x:c r="Q8" s="120" t="str"/>
      <x:c r="R8" s="120" t="str"/>
      <x:c r="S8" s="120" t="str"/>
      <x:c r="T8" s="120" t="str"/>
      <x:c r="U8" s="120" t="str"/>
      <x:c r="V8" s="120" t="str"/>
      <x:c r="W8" s="119" t="str"/>
      <x:c r="X8" s="119" t="str"/>
      <x:c r="Y8" s="120" t="str"/>
      <x:c r="Z8" s="120" t="str"/>
      <x:c r="AA8" s="120" t="str"/>
      <x:c r="AB8" s="120" t="str"/>
      <x:c r="AC8" s="120" t="str"/>
    </x:row>
    <x:row r="9" ht="28" customHeight="1">
      <x:c r="A9" s="129" t="str">
        <x:v>개발</x:v>
      </x:c>
      <x:c r="B9" s="130" t="str">
        <x:v>계산</x:v>
      </x:c>
      <x:c r="C9" s="137" t="str">
        <x:v>총금액·소비전력·권장 파워 계산</x:v>
      </x:c>
      <x:c r="D9" s="134" t="str"/>
      <x:c r="E9" s="140" t="n">
        <x:v>46234</x:v>
      </x:c>
      <x:c r="F9" s="140" t="n">
        <x:v>46237</x:v>
      </x:c>
      <x:c r="G9" s="143" t="n">
        <x:v>1</x:v>
      </x:c>
      <x:c r="H9" s="123" t="str">
        <x:f>IF(G9=1,"완료",IF(G9&gt;0,"진행 중","예정"))</x:f>
        <x:v>완료</x:v>
      </x:c>
      <x:c r="I9" s="120" t="str"/>
      <x:c r="J9" s="120" t="str"/>
      <x:c r="K9" s="120" t="str"/>
      <x:c r="L9" s="120" t="str"/>
      <x:c r="M9" s="120" t="str"/>
      <x:c r="N9" s="120" t="str"/>
      <x:c r="O9" s="120" t="str"/>
      <x:c r="P9" s="120" t="str"/>
      <x:c r="Q9" s="120" t="str"/>
      <x:c r="R9" s="120" t="str"/>
      <x:c r="S9" s="120" t="str"/>
      <x:c r="T9" s="120" t="str"/>
      <x:c r="U9" s="120" t="str"/>
      <x:c r="V9" s="120" t="str"/>
      <x:c r="W9" s="120" t="str"/>
      <x:c r="X9" s="119" t="str"/>
      <x:c r="Y9" s="119" t="str"/>
      <x:c r="Z9" s="120" t="str"/>
      <x:c r="AA9" s="120" t="str"/>
      <x:c r="AB9" s="120" t="str"/>
      <x:c r="AC9" s="120" t="str"/>
    </x:row>
    <x:row r="10" ht="28" customHeight="1">
      <x:c r="A10" s="129" t="str">
        <x:v>개발</x:v>
      </x:c>
      <x:c r="B10" s="130" t="str">
        <x:v>호환성</x:v>
      </x:c>
      <x:c r="C10" s="137" t="str">
        <x:v>CPU·메인보드 소켓 검사</x:v>
      </x:c>
      <x:c r="D10" s="134" t="str"/>
      <x:c r="E10" s="140" t="n">
        <x:v>46237</x:v>
      </x:c>
      <x:c r="F10" s="140" t="n">
        <x:v>46238</x:v>
      </x:c>
      <x:c r="G10" s="143" t="n">
        <x:v>1</x:v>
      </x:c>
      <x:c r="H10" s="123" t="str">
        <x:f>IF(G10=1,"완료",IF(G10&gt;0,"진행 중","예정"))</x:f>
        <x:v>완료</x:v>
      </x:c>
      <x:c r="I10" s="120" t="str"/>
      <x:c r="J10" s="120" t="str"/>
      <x:c r="K10" s="120" t="str"/>
      <x:c r="L10" s="120" t="str"/>
      <x:c r="M10" s="120" t="str"/>
      <x:c r="N10" s="120" t="str"/>
      <x:c r="O10" s="120" t="str"/>
      <x:c r="P10" s="120" t="str"/>
      <x:c r="Q10" s="120" t="str"/>
      <x:c r="R10" s="120" t="str"/>
      <x:c r="S10" s="120" t="str"/>
      <x:c r="T10" s="120" t="str"/>
      <x:c r="U10" s="120" t="str"/>
      <x:c r="V10" s="120" t="str"/>
      <x:c r="W10" s="120" t="str"/>
      <x:c r="X10" s="120" t="str"/>
      <x:c r="Y10" s="119" t="str"/>
      <x:c r="Z10" s="119" t="str"/>
      <x:c r="AA10" s="120" t="str"/>
      <x:c r="AB10" s="120" t="str"/>
      <x:c r="AC10" s="120" t="str"/>
    </x:row>
    <x:row r="11" ht="28" customHeight="1">
      <x:c r="A11" s="129" t="str">
        <x:v>개발</x:v>
      </x:c>
      <x:c r="B11" s="130" t="str">
        <x:v>호환성</x:v>
      </x:c>
      <x:c r="C11" s="137" t="str">
        <x:v>RAM 규격·메인보드 슬롯 검사</x:v>
      </x:c>
      <x:c r="D11" s="134" t="str"/>
      <x:c r="E11" s="140" t="n">
        <x:v>46237</x:v>
      </x:c>
      <x:c r="F11" s="140" t="n">
        <x:v>46239</x:v>
      </x:c>
      <x:c r="G11" s="143" t="n">
        <x:v>0.95</x:v>
      </x:c>
      <x:c r="H11" s="151" t="str">
        <x:f>IF(G11=1,"완료",IF(G11&gt;0,"진행 중","예정"))</x:f>
        <x:v>진행 중</x:v>
      </x:c>
      <x:c r="I11" s="120" t="str"/>
      <x:c r="J11" s="120" t="str"/>
      <x:c r="K11" s="120" t="str"/>
      <x:c r="L11" s="120" t="str"/>
      <x:c r="M11" s="120" t="str"/>
      <x:c r="N11" s="120" t="str"/>
      <x:c r="O11" s="120" t="str"/>
      <x:c r="P11" s="120" t="str"/>
      <x:c r="Q11" s="120" t="str"/>
      <x:c r="R11" s="120" t="str"/>
      <x:c r="S11" s="120" t="str"/>
      <x:c r="T11" s="120" t="str"/>
      <x:c r="U11" s="120" t="str"/>
      <x:c r="V11" s="120" t="str"/>
      <x:c r="W11" s="120" t="str"/>
      <x:c r="X11" s="120" t="str"/>
      <x:c r="Y11" s="152" t="str"/>
      <x:c r="Z11" s="152" t="str"/>
      <x:c r="AA11" s="152" t="str"/>
      <x:c r="AB11" s="120" t="str"/>
      <x:c r="AC11" s="120" t="str"/>
    </x:row>
    <x:row r="12" ht="28" customHeight="1">
      <x:c r="A12" s="129" t="str">
        <x:v>개발</x:v>
      </x:c>
      <x:c r="B12" s="130" t="str">
        <x:v>호환성</x:v>
      </x:c>
      <x:c r="C12" s="137" t="str">
        <x:v>케이스 폼팩터·GPU 길이 검사</x:v>
      </x:c>
      <x:c r="D12" s="134" t="str"/>
      <x:c r="E12" s="140" t="n">
        <x:v>46238</x:v>
      </x:c>
      <x:c r="F12" s="140" t="n">
        <x:v>46240</x:v>
      </x:c>
      <x:c r="G12" s="143" t="n">
        <x:v>0.95</x:v>
      </x:c>
      <x:c r="H12" s="151" t="str">
        <x:f>IF(G12=1,"완료",IF(G12&gt;0,"진행 중","예정"))</x:f>
        <x:v>진행 중</x:v>
      </x:c>
      <x:c r="I12" s="120" t="str"/>
      <x:c r="J12" s="120" t="str"/>
      <x:c r="K12" s="120" t="str"/>
      <x:c r="L12" s="120" t="str"/>
      <x:c r="M12" s="120" t="str"/>
      <x:c r="N12" s="120" t="str"/>
      <x:c r="O12" s="120" t="str"/>
      <x:c r="P12" s="120" t="str"/>
      <x:c r="Q12" s="120" t="str"/>
      <x:c r="R12" s="120" t="str"/>
      <x:c r="S12" s="120" t="str"/>
      <x:c r="T12" s="120" t="str"/>
      <x:c r="U12" s="120" t="str"/>
      <x:c r="V12" s="120" t="str"/>
      <x:c r="W12" s="120" t="str"/>
      <x:c r="X12" s="120" t="str"/>
      <x:c r="Y12" s="120" t="str"/>
      <x:c r="Z12" s="152" t="str"/>
      <x:c r="AA12" s="152" t="str"/>
      <x:c r="AB12" s="152" t="str"/>
      <x:c r="AC12" s="120" t="str"/>
    </x:row>
    <x:row r="13" ht="28" customHeight="1">
      <x:c r="A13" s="129" t="str">
        <x:v>개발</x:v>
      </x:c>
      <x:c r="B13" s="130" t="str">
        <x:v>호환성</x:v>
      </x:c>
      <x:c r="C13" s="137" t="str">
        <x:v>파워 용량 검사와 오류 안내</x:v>
      </x:c>
      <x:c r="D13" s="134" t="str"/>
      <x:c r="E13" s="140" t="n">
        <x:v>46238</x:v>
      </x:c>
      <x:c r="F13" s="140" t="n">
        <x:v>46241</x:v>
      </x:c>
      <x:c r="G13" s="143" t="n">
        <x:v>0.9</x:v>
      </x:c>
      <x:c r="H13" s="151" t="str">
        <x:f>IF(G13=1,"완료",IF(G13&gt;0,"진행 중","예정"))</x:f>
        <x:v>진행 중</x:v>
      </x:c>
      <x:c r="I13" s="120" t="str"/>
      <x:c r="J13" s="120" t="str"/>
      <x:c r="K13" s="120" t="str"/>
      <x:c r="L13" s="120" t="str"/>
      <x:c r="M13" s="120" t="str"/>
      <x:c r="N13" s="120" t="str"/>
      <x:c r="O13" s="120" t="str"/>
      <x:c r="P13" s="120" t="str"/>
      <x:c r="Q13" s="120" t="str"/>
      <x:c r="R13" s="120" t="str"/>
      <x:c r="S13" s="120" t="str"/>
      <x:c r="T13" s="120" t="str"/>
      <x:c r="U13" s="120" t="str"/>
      <x:c r="V13" s="120" t="str"/>
      <x:c r="W13" s="120" t="str"/>
      <x:c r="X13" s="120" t="str"/>
      <x:c r="Y13" s="120" t="str"/>
      <x:c r="Z13" s="152" t="str"/>
      <x:c r="AA13" s="152" t="str"/>
      <x:c r="AB13" s="152" t="str"/>
      <x:c r="AC13" s="152" t="str"/>
    </x:row>
    <x:row r="14" ht="28" customHeight="1">
      <x:c r="A14" s="129" t="str">
        <x:v>개발</x:v>
      </x:c>
      <x:c r="B14" s="130" t="str">
        <x:v>견적 저장</x:v>
      </x:c>
      <x:c r="C14" s="137" t="str">
        <x:v>견적 저장·조회·수정·삭제</x:v>
      </x:c>
      <x:c r="D14" s="134" t="str"/>
      <x:c r="E14" s="140" t="n">
        <x:v>46237</x:v>
      </x:c>
      <x:c r="F14" s="140" t="n">
        <x:v>46240</x:v>
      </x:c>
      <x:c r="G14" s="143" t="n">
        <x:v>0.85</x:v>
      </x:c>
      <x:c r="H14" s="151" t="str">
        <x:f>IF(G14=1,"완료",IF(G14&gt;0,"진행 중","예정"))</x:f>
        <x:v>진행 중</x:v>
      </x:c>
      <x:c r="I14" s="120" t="str"/>
      <x:c r="J14" s="120" t="str"/>
      <x:c r="K14" s="120" t="str"/>
      <x:c r="L14" s="120" t="str"/>
      <x:c r="M14" s="120" t="str"/>
      <x:c r="N14" s="120" t="str"/>
      <x:c r="O14" s="120" t="str"/>
      <x:c r="P14" s="120" t="str"/>
      <x:c r="Q14" s="120" t="str"/>
      <x:c r="R14" s="120" t="str"/>
      <x:c r="S14" s="120" t="str"/>
      <x:c r="T14" s="120" t="str"/>
      <x:c r="U14" s="120" t="str"/>
      <x:c r="V14" s="120" t="str"/>
      <x:c r="W14" s="120" t="str"/>
      <x:c r="X14" s="120" t="str"/>
      <x:c r="Y14" s="152" t="str"/>
      <x:c r="Z14" s="152" t="str"/>
      <x:c r="AA14" s="152" t="str"/>
      <x:c r="AB14" s="152" t="str"/>
      <x:c r="AC14" s="120" t="str"/>
    </x:row>
    <x:row r="15" ht="28" customHeight="1">
      <x:c r="A15" s="129" t="str">
        <x:v>개발</x:v>
      </x:c>
      <x:c r="B15" s="130" t="str">
        <x:v>추천 견적</x:v>
      </x:c>
      <x:c r="C15" s="137" t="str">
        <x:v>프리셋 목록·상세·필터 구현</x:v>
      </x:c>
      <x:c r="D15" s="134" t="str"/>
      <x:c r="E15" s="140" t="n">
        <x:v>46233</x:v>
      </x:c>
      <x:c r="F15" s="140" t="n">
        <x:v>46237</x:v>
      </x:c>
      <x:c r="G15" s="143" t="n">
        <x:v>1</x:v>
      </x:c>
      <x:c r="H15" s="123" t="str">
        <x:f>IF(G15=1,"완료",IF(G15&gt;0,"진행 중","예정"))</x:f>
        <x:v>완료</x:v>
      </x:c>
      <x:c r="I15" s="120" t="str"/>
      <x:c r="J15" s="120" t="str"/>
      <x:c r="K15" s="120" t="str"/>
      <x:c r="L15" s="120" t="str"/>
      <x:c r="M15" s="120" t="str"/>
      <x:c r="N15" s="120" t="str"/>
      <x:c r="O15" s="120" t="str"/>
      <x:c r="P15" s="120" t="str"/>
      <x:c r="Q15" s="120" t="str"/>
      <x:c r="R15" s="120" t="str"/>
      <x:c r="S15" s="120" t="str"/>
      <x:c r="T15" s="120" t="str"/>
      <x:c r="U15" s="120" t="str"/>
      <x:c r="V15" s="120" t="str"/>
      <x:c r="W15" s="119" t="str"/>
      <x:c r="X15" s="119" t="str"/>
      <x:c r="Y15" s="119" t="str"/>
      <x:c r="Z15" s="120" t="str"/>
      <x:c r="AA15" s="120" t="str"/>
      <x:c r="AB15" s="120" t="str"/>
      <x:c r="AC15" s="120" t="str"/>
    </x:row>
    <x:row r="16" ht="28" customHeight="1">
      <x:c r="A16" s="129" t="str">
        <x:v>개발</x:v>
      </x:c>
      <x:c r="B16" s="130" t="str">
        <x:v>추천 견적</x:v>
      </x:c>
      <x:c r="C16" s="137" t="str">
        <x:v>프리셋 가격·소비전력 표시</x:v>
      </x:c>
      <x:c r="D16" s="134" t="str"/>
      <x:c r="E16" s="140" t="n">
        <x:v>46237</x:v>
      </x:c>
      <x:c r="F16" s="140" t="n">
        <x:v>46238</x:v>
      </x:c>
      <x:c r="G16" s="143" t="n">
        <x:v>1</x:v>
      </x:c>
      <x:c r="H16" s="123" t="str">
        <x:f>IF(G16=1,"완료",IF(G16&gt;0,"진행 중","예정"))</x:f>
        <x:v>완료</x:v>
      </x:c>
      <x:c r="I16" s="120" t="str"/>
      <x:c r="J16" s="120" t="str"/>
      <x:c r="K16" s="120" t="str"/>
      <x:c r="L16" s="120" t="str"/>
      <x:c r="M16" s="120" t="str"/>
      <x:c r="N16" s="120" t="str"/>
      <x:c r="O16" s="120" t="str"/>
      <x:c r="P16" s="120" t="str"/>
      <x:c r="Q16" s="120" t="str"/>
      <x:c r="R16" s="120" t="str"/>
      <x:c r="S16" s="120" t="str"/>
      <x:c r="T16" s="120" t="str"/>
      <x:c r="U16" s="120" t="str"/>
      <x:c r="V16" s="120" t="str"/>
      <x:c r="W16" s="120" t="str"/>
      <x:c r="X16" s="120" t="str"/>
      <x:c r="Y16" s="119" t="str"/>
      <x:c r="Z16" s="119" t="str"/>
      <x:c r="AA16" s="120" t="str"/>
      <x:c r="AB16" s="120" t="str"/>
      <x:c r="AC16" s="120" t="str"/>
    </x:row>
    <x:row r="17" ht="28" customHeight="1">
      <x:c r="A17" s="129" t="str">
        <x:v>테스트</x:v>
      </x:c>
      <x:c r="B17" s="130" t="str">
        <x:v>견적</x:v>
      </x:c>
      <x:c r="C17" s="137" t="str">
        <x:v>계산·호환성·저장 흐름 테스트</x:v>
      </x:c>
      <x:c r="D17" s="134" t="str"/>
      <x:c r="E17" s="140" t="n">
        <x:v>46239</x:v>
      </x:c>
      <x:c r="F17" s="140" t="n">
        <x:v>46241</x:v>
      </x:c>
      <x:c r="G17" s="143" t="n">
        <x:v>0.8</x:v>
      </x:c>
      <x:c r="H17" s="151" t="str">
        <x:f>IF(G17=1,"완료",IF(G17&gt;0,"진행 중","예정"))</x:f>
        <x:v>진행 중</x:v>
      </x:c>
      <x:c r="I17" s="120" t="str"/>
      <x:c r="J17" s="120" t="str"/>
      <x:c r="K17" s="120" t="str"/>
      <x:c r="L17" s="120" t="str"/>
      <x:c r="M17" s="120" t="str"/>
      <x:c r="N17" s="120" t="str"/>
      <x:c r="O17" s="120" t="str"/>
      <x:c r="P17" s="120" t="str"/>
      <x:c r="Q17" s="120" t="str"/>
      <x:c r="R17" s="120" t="str"/>
      <x:c r="S17" s="120" t="str"/>
      <x:c r="T17" s="120" t="str"/>
      <x:c r="U17" s="120" t="str"/>
      <x:c r="V17" s="120" t="str"/>
      <x:c r="W17" s="120" t="str"/>
      <x:c r="X17" s="120" t="str"/>
      <x:c r="Y17" s="120" t="str"/>
      <x:c r="Z17" s="120" t="str"/>
      <x:c r="AA17" s="152" t="str"/>
      <x:c r="AB17" s="152" t="str"/>
      <x:c r="AC17" s="152" t="str"/>
    </x:row>
    <x:row r="18" ht="28" customHeight="1">
      <x:c r="A18" s="129" t="str">
        <x:v>개발</x:v>
      </x:c>
      <x:c r="B18" s="130" t="str">
        <x:v>Entity</x:v>
      </x:c>
      <x:c r="C18" s="137" t="str">
        <x:v>견적서·견적 부품 관계 매핑</x:v>
      </x:c>
      <x:c r="D18" s="134" t="str"/>
      <x:c r="E18" s="140" t="n">
        <x:v>46232</x:v>
      </x:c>
      <x:c r="F18" s="140" t="n">
        <x:v>46233</x:v>
      </x:c>
      <x:c r="G18" s="143" t="n">
        <x:v>1</x:v>
      </x:c>
      <x:c r="H18" s="123" t="str">
        <x:f>IF(G18=1,"완료",IF(G18&gt;0,"진행 중","예정"))</x:f>
        <x:v>완료</x:v>
      </x:c>
      <x:c r="I18" s="120" t="str"/>
      <x:c r="J18" s="120" t="str"/>
      <x:c r="K18" s="120" t="str"/>
      <x:c r="L18" s="120" t="str"/>
      <x:c r="M18" s="120" t="str"/>
      <x:c r="N18" s="120" t="str"/>
      <x:c r="O18" s="120" t="str"/>
      <x:c r="P18" s="120" t="str"/>
      <x:c r="Q18" s="120" t="str"/>
      <x:c r="R18" s="120" t="str"/>
      <x:c r="S18" s="120" t="str"/>
      <x:c r="T18" s="120" t="str"/>
      <x:c r="U18" s="120" t="str"/>
      <x:c r="V18" s="119" t="str"/>
      <x:c r="W18" s="119" t="str"/>
      <x:c r="X18" s="120" t="str"/>
      <x:c r="Y18" s="120" t="str"/>
      <x:c r="Z18" s="120" t="str"/>
      <x:c r="AA18" s="120" t="str"/>
      <x:c r="AB18" s="120" t="str"/>
      <x:c r="AC18" s="120" t="str"/>
    </x:row>
    <x:row r="19" ht="28" customHeight="1">
      <x:c r="A19" s="129" t="str">
        <x:v>개발</x:v>
      </x:c>
      <x:c r="B19" s="130" t="str">
        <x:v>Controller</x:v>
      </x:c>
      <x:c r="C19" s="137" t="str">
        <x:v>견적 생성·조회·수정·삭제 요청 처리</x:v>
      </x:c>
      <x:c r="D19" s="134" t="str"/>
      <x:c r="E19" s="140" t="n">
        <x:v>46237</x:v>
      </x:c>
      <x:c r="F19" s="140" t="n">
        <x:v>46240</x:v>
      </x:c>
      <x:c r="G19" s="143" t="n">
        <x:v>0.85</x:v>
      </x:c>
      <x:c r="H19" s="151" t="str">
        <x:f>IF(G19=1,"완료",IF(G19&gt;0,"진행 중","예정"))</x:f>
        <x:v>진행 중</x:v>
      </x:c>
      <x:c r="I19" s="120" t="str"/>
      <x:c r="J19" s="120" t="str"/>
      <x:c r="K19" s="120" t="str"/>
      <x:c r="L19" s="120" t="str"/>
      <x:c r="M19" s="120" t="str"/>
      <x:c r="N19" s="120" t="str"/>
      <x:c r="O19" s="120" t="str"/>
      <x:c r="P19" s="120" t="str"/>
      <x:c r="Q19" s="120" t="str"/>
      <x:c r="R19" s="120" t="str"/>
      <x:c r="S19" s="120" t="str"/>
      <x:c r="T19" s="120" t="str"/>
      <x:c r="U19" s="120" t="str"/>
      <x:c r="V19" s="120" t="str"/>
      <x:c r="W19" s="120" t="str"/>
      <x:c r="X19" s="120" t="str"/>
      <x:c r="Y19" s="152" t="str"/>
      <x:c r="Z19" s="152" t="str"/>
      <x:c r="AA19" s="152" t="str"/>
      <x:c r="AB19" s="152" t="str"/>
      <x:c r="AC19" s="120" t="str"/>
    </x:row>
    <x:row r="20" ht="28" customHeight="1">
      <x:c r="A20" s="129" t="str">
        <x:v>개발</x:v>
      </x:c>
      <x:c r="B20" s="130" t="str">
        <x:v>Service</x:v>
      </x:c>
      <x:c r="C20" s="137" t="str">
        <x:v>선택 부품 검증과 견적 총액 재계산</x:v>
      </x:c>
      <x:c r="D20" s="134" t="str"/>
      <x:c r="E20" s="140" t="n">
        <x:v>46237</x:v>
      </x:c>
      <x:c r="F20" s="140" t="n">
        <x:v>46240</x:v>
      </x:c>
      <x:c r="G20" s="143" t="n">
        <x:v>0.95</x:v>
      </x:c>
      <x:c r="H20" s="151" t="str">
        <x:f>IF(G20=1,"완료",IF(G20&gt;0,"진행 중","예정"))</x:f>
        <x:v>진행 중</x:v>
      </x:c>
      <x:c r="I20" s="120" t="str"/>
      <x:c r="J20" s="120" t="str"/>
      <x:c r="K20" s="120" t="str"/>
      <x:c r="L20" s="120" t="str"/>
      <x:c r="M20" s="120" t="str"/>
      <x:c r="N20" s="120" t="str"/>
      <x:c r="O20" s="120" t="str"/>
      <x:c r="P20" s="120" t="str"/>
      <x:c r="Q20" s="120" t="str"/>
      <x:c r="R20" s="120" t="str"/>
      <x:c r="S20" s="120" t="str"/>
      <x:c r="T20" s="120" t="str"/>
      <x:c r="U20" s="120" t="str"/>
      <x:c r="V20" s="120" t="str"/>
      <x:c r="W20" s="120" t="str"/>
      <x:c r="X20" s="120" t="str"/>
      <x:c r="Y20" s="152" t="str"/>
      <x:c r="Z20" s="152" t="str"/>
      <x:c r="AA20" s="152" t="str"/>
      <x:c r="AB20" s="152" t="str"/>
      <x:c r="AC20" s="120" t="str"/>
    </x:row>
    <x:row r="21" ht="28" customHeight="1">
      <x:c r="A21" s="129" t="str">
        <x:v>개발</x:v>
      </x:c>
      <x:c r="B21" s="130" t="str">
        <x:v>Repository</x:v>
      </x:c>
      <x:c r="C21" s="137" t="str">
        <x:v>회원별 견적·견적 부품 조회</x:v>
      </x:c>
      <x:c r="D21" s="134" t="str"/>
      <x:c r="E21" s="140" t="n">
        <x:v>46237</x:v>
      </x:c>
      <x:c r="F21" s="140" t="n">
        <x:v>46239</x:v>
      </x:c>
      <x:c r="G21" s="143" t="n">
        <x:v>0.9</x:v>
      </x:c>
      <x:c r="H21" s="151" t="str">
        <x:f>IF(G21=1,"완료",IF(G21&gt;0,"진행 중","예정"))</x:f>
        <x:v>진행 중</x:v>
      </x:c>
      <x:c r="I21" s="120" t="str"/>
      <x:c r="J21" s="120" t="str"/>
      <x:c r="K21" s="120" t="str"/>
      <x:c r="L21" s="120" t="str"/>
      <x:c r="M21" s="120" t="str"/>
      <x:c r="N21" s="120" t="str"/>
      <x:c r="O21" s="120" t="str"/>
      <x:c r="P21" s="120" t="str"/>
      <x:c r="Q21" s="120" t="str"/>
      <x:c r="R21" s="120" t="str"/>
      <x:c r="S21" s="120" t="str"/>
      <x:c r="T21" s="120" t="str"/>
      <x:c r="U21" s="120" t="str"/>
      <x:c r="V21" s="120" t="str"/>
      <x:c r="W21" s="120" t="str"/>
      <x:c r="X21" s="120" t="str"/>
      <x:c r="Y21" s="152" t="str"/>
      <x:c r="Z21" s="152" t="str"/>
      <x:c r="AA21" s="152" t="str"/>
      <x:c r="AB21" s="120" t="str"/>
      <x:c r="AC21" s="120" t="str"/>
    </x:row>
    <x:row r="22" ht="28" customHeight="1">
      <x:c r="A22" s="129" t="str">
        <x:v>개발</x:v>
      </x:c>
      <x:c r="B22" s="130" t="str">
        <x:v>UI 이벤트</x:v>
      </x:c>
      <x:c r="C22" s="137" t="str">
        <x:v>부품 변경 시 금액·전력·호환성 즉시 갱신</x:v>
      </x:c>
      <x:c r="D22" s="134" t="str"/>
      <x:c r="E22" s="140" t="n">
        <x:v>46234</x:v>
      </x:c>
      <x:c r="F22" s="140" t="n">
        <x:v>46239</x:v>
      </x:c>
      <x:c r="G22" s="143" t="n">
        <x:v>1</x:v>
      </x:c>
      <x:c r="H22" s="123" t="str">
        <x:f>IF(G22=1,"완료",IF(G22&gt;0,"진행 중","예정"))</x:f>
        <x:v>완료</x:v>
      </x:c>
      <x:c r="I22" s="120" t="str"/>
      <x:c r="J22" s="120" t="str"/>
      <x:c r="K22" s="120" t="str"/>
      <x:c r="L22" s="120" t="str"/>
      <x:c r="M22" s="120" t="str"/>
      <x:c r="N22" s="120" t="str"/>
      <x:c r="O22" s="120" t="str"/>
      <x:c r="P22" s="120" t="str"/>
      <x:c r="Q22" s="120" t="str"/>
      <x:c r="R22" s="120" t="str"/>
      <x:c r="S22" s="120" t="str"/>
      <x:c r="T22" s="120" t="str"/>
      <x:c r="U22" s="120" t="str"/>
      <x:c r="V22" s="120" t="str"/>
      <x:c r="W22" s="120" t="str"/>
      <x:c r="X22" s="119" t="str"/>
      <x:c r="Y22" s="119" t="str"/>
      <x:c r="Z22" s="119" t="str"/>
      <x:c r="AA22" s="119" t="str"/>
      <x:c r="AB22" s="120" t="str"/>
      <x:c r="AC22" s="120" t="str"/>
    </x:row>
    <x:row r="23" ht="28" customHeight="1">
      <x:c r="A23" s="129" t="str">
        <x:v>개발</x:v>
      </x:c>
      <x:c r="B23" s="130" t="str">
        <x:v>장바구니 연동</x:v>
      </x:c>
      <x:c r="C23" s="137" t="str">
        <x:v>완성 견적을 견적 단위로 장바구니 저장</x:v>
      </x:c>
      <x:c r="D23" s="134" t="str"/>
      <x:c r="E23" s="140" t="n">
        <x:v>46238</x:v>
      </x:c>
      <x:c r="F23" s="140" t="n">
        <x:v>46240</x:v>
      </x:c>
      <x:c r="G23" s="143" t="n">
        <x:v>1</x:v>
      </x:c>
      <x:c r="H23" s="123" t="str">
        <x:f>IF(G23=1,"완료",IF(G23&gt;0,"진행 중","예정"))</x:f>
        <x:v>완료</x:v>
      </x:c>
      <x:c r="I23" s="120" t="str"/>
      <x:c r="J23" s="120" t="str"/>
      <x:c r="K23" s="120" t="str"/>
      <x:c r="L23" s="120" t="str"/>
      <x:c r="M23" s="120" t="str"/>
      <x:c r="N23" s="120" t="str"/>
      <x:c r="O23" s="120" t="str"/>
      <x:c r="P23" s="120" t="str"/>
      <x:c r="Q23" s="120" t="str"/>
      <x:c r="R23" s="120" t="str"/>
      <x:c r="S23" s="120" t="str"/>
      <x:c r="T23" s="120" t="str"/>
      <x:c r="U23" s="120" t="str"/>
      <x:c r="V23" s="120" t="str"/>
      <x:c r="W23" s="120" t="str"/>
      <x:c r="X23" s="120" t="str"/>
      <x:c r="Y23" s="120" t="str"/>
      <x:c r="Z23" s="119" t="str"/>
      <x:c r="AA23" s="119" t="str"/>
      <x:c r="AB23" s="119" t="str"/>
      <x:c r="AC23" s="120" t="str"/>
    </x:row>
    <x:row r="24" ht="28" customHeight="1">
      <x:c r="A24" s="131" t="str">
        <x:v>개발</x:v>
      </x:c>
      <x:c r="B24" s="132" t="str">
        <x:v>예외 처리</x:v>
      </x:c>
      <x:c r="C24" s="138" t="str">
        <x:v>필수 부품 누락·상품 없음·수량 오류 안내</x:v>
      </x:c>
      <x:c r="D24" s="135" t="str"/>
      <x:c r="E24" s="141" t="n">
        <x:v>46239</x:v>
      </x:c>
      <x:c r="F24" s="141" t="n">
        <x:v>46241</x:v>
      </x:c>
      <x:c r="G24" s="144" t="n">
        <x:v>0.85</x:v>
      </x:c>
      <x:c r="H24" s="153" t="str">
        <x:f>IF(G24=1,"완료",IF(G24&gt;0,"진행 중","예정"))</x:f>
        <x:v>진행 중</x:v>
      </x:c>
      <x:c r="I24" s="120" t="str"/>
      <x:c r="J24" s="120" t="str"/>
      <x:c r="K24" s="120" t="str"/>
      <x:c r="L24" s="120" t="str"/>
      <x:c r="M24" s="120" t="str"/>
      <x:c r="N24" s="120" t="str"/>
      <x:c r="O24" s="120" t="str"/>
      <x:c r="P24" s="120" t="str"/>
      <x:c r="Q24" s="120" t="str"/>
      <x:c r="R24" s="120" t="str"/>
      <x:c r="S24" s="120" t="str"/>
      <x:c r="T24" s="120" t="str"/>
      <x:c r="U24" s="120" t="str"/>
      <x:c r="V24" s="120" t="str"/>
      <x:c r="W24" s="120" t="str"/>
      <x:c r="X24" s="120" t="str"/>
      <x:c r="Y24" s="120" t="str"/>
      <x:c r="Z24" s="120" t="str"/>
      <x:c r="AA24" s="152" t="str"/>
      <x:c r="AB24" s="152" t="str"/>
      <x:c r="AC24" s="152" t="str"/>
    </x:row>
  </x:sheetData>
  <x:mergeCells>
    <x:mergeCell ref="A1:AC1"/>
    <x:mergeCell ref="A2:AC2"/>
    <x:mergeCell ref="A4:H4"/>
    <x:mergeCell ref="I4:M4"/>
    <x:mergeCell ref="N4:R4"/>
    <x:mergeCell ref="S4:W4"/>
    <x:mergeCell ref="X4:AC4"/>
  </x:mergeCells>
  <x:dataValidations count="1">
    <x:dataValidation type="list" sqref="D6:D24">
      <x:formula1>"공동,팀장,팀원"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42" hidden="0" customWidth="1"/>
    <x:col min="4" max="4" width="10" hidden="0" customWidth="1"/>
    <x:col min="5" max="5" width="12" hidden="0" customWidth="1"/>
    <x:col min="6" max="6" width="12" hidden="0" customWidth="1"/>
    <x:col min="7" max="7" width="9" hidden="0" customWidth="1"/>
    <x:col min="8" max="8" width="11" hidden="0" customWidth="1"/>
    <x:col min="9" max="9" width="5" hidden="0" customWidth="1"/>
    <x:col min="10" max="10" width="5" hidden="0" customWidth="1"/>
    <x:col min="11" max="11" width="5" hidden="0" customWidth="1"/>
    <x:col min="12" max="12" width="5" hidden="0" customWidth="1"/>
    <x:col min="13" max="13" width="5" hidden="0" customWidth="1"/>
    <x:col min="14" max="14" width="5" hidden="0" customWidth="1"/>
    <x:col min="15" max="15" width="5" hidden="0" customWidth="1"/>
    <x:col min="16" max="16" width="5" hidden="0" customWidth="1"/>
    <x:col min="17" max="17" width="5" hidden="0" customWidth="1"/>
    <x:col min="18" max="18" width="5" hidden="0" customWidth="1"/>
    <x:col min="19" max="19" width="5" hidden="0" customWidth="1"/>
    <x:col min="20" max="20" width="5" hidden="0" customWidth="1"/>
    <x:col min="21" max="21" width="5" hidden="0" customWidth="1"/>
    <x:col min="22" max="22" width="5" hidden="0" customWidth="1"/>
    <x:col min="23" max="23" width="5" hidden="0" customWidth="1"/>
    <x:col min="24" max="24" width="5" hidden="0" customWidth="1"/>
    <x:col min="25" max="25" width="5" hidden="0" customWidth="1"/>
    <x:col min="26" max="26" width="5" hidden="0" customWidth="1"/>
    <x:col min="27" max="27" width="5" hidden="0" customWidth="1"/>
    <x:col min="28" max="28" width="5" hidden="0" customWidth="1"/>
    <x:col min="29" max="29" width="5" hidden="0" customWidth="1"/>
  </x:cols>
  <x:sheetData>
    <x:row r="1" ht="30" customHeight="1">
      <x:c r="A1" s="92" t="str">
        <x:v>COMPICK WBS | AI견적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92"/>
      <x:c r="P1" s="92"/>
      <x:c r="Q1" s="92"/>
      <x:c r="R1" s="92"/>
      <x:c r="S1" s="92"/>
      <x:c r="T1" s="92"/>
      <x:c r="U1" s="92"/>
      <x:c r="V1" s="92"/>
      <x:c r="W1" s="92"/>
      <x:c r="X1" s="92"/>
      <x:c r="Y1" s="92"/>
      <x:c r="Z1" s="92"/>
      <x:c r="AA1" s="92"/>
      <x:c r="AB1" s="92"/>
      <x:c r="AC1" s="92"/>
    </x:row>
    <x:row r="2" ht="22" customHeight="1">
      <x:c r="A2" s="95" t="str">
        <x:v>기준 기간 2026-07-10 ~ 2026-08-07  ·  녹색=완료 / 주황=진행 중 / 회색=예정</x:v>
      </x:c>
      <x:c r="B2" s="95"/>
      <x:c r="C2" s="95"/>
      <x:c r="D2" s="95"/>
      <x:c r="E2" s="95"/>
      <x:c r="F2" s="95"/>
      <x:c r="G2" s="95"/>
      <x:c r="H2" s="95"/>
      <x:c r="I2" s="95"/>
      <x:c r="J2" s="95"/>
      <x:c r="K2" s="95"/>
      <x:c r="L2" s="95"/>
      <x:c r="M2" s="95"/>
      <x:c r="N2" s="95"/>
      <x:c r="O2" s="95"/>
      <x:c r="P2" s="95"/>
      <x:c r="Q2" s="95"/>
      <x:c r="R2" s="95"/>
      <x:c r="S2" s="95"/>
      <x:c r="T2" s="95"/>
      <x:c r="U2" s="95"/>
      <x:c r="V2" s="95"/>
      <x:c r="W2" s="95"/>
      <x:c r="X2" s="95"/>
      <x:c r="Y2" s="95"/>
      <x:c r="Z2" s="95"/>
      <x:c r="AA2" s="95"/>
      <x:c r="AB2" s="95"/>
      <x:c r="AC2" s="95"/>
    </x:row>
    <x:row r="4" ht="26" customHeight="1">
      <x:c r="A4" s="100" t="str">
        <x:v>업무 정보</x:v>
      </x:c>
      <x:c r="B4" s="100"/>
      <x:c r="C4" s="100"/>
      <x:c r="D4" s="100"/>
      <x:c r="E4" s="100"/>
      <x:c r="F4" s="100"/>
      <x:c r="G4" s="100"/>
      <x:c r="H4" s="100"/>
      <x:c r="I4" s="100" t="str">
        <x:v>1주차  7/10~7/16</x:v>
      </x:c>
      <x:c r="J4" s="100"/>
      <x:c r="K4" s="100"/>
      <x:c r="L4" s="100"/>
      <x:c r="M4" s="100"/>
      <x:c r="N4" s="100" t="str">
        <x:v>2주차  7/17~7/23</x:v>
      </x:c>
      <x:c r="O4" s="100"/>
      <x:c r="P4" s="100"/>
      <x:c r="Q4" s="100"/>
      <x:c r="R4" s="100"/>
      <x:c r="S4" s="100" t="str">
        <x:v>3주차  7/24~7/30</x:v>
      </x:c>
      <x:c r="T4" s="100"/>
      <x:c r="U4" s="100"/>
      <x:c r="V4" s="100"/>
      <x:c r="W4" s="100"/>
      <x:c r="X4" s="100" t="str">
        <x:v>4주차  7/31~8/07</x:v>
      </x:c>
      <x:c r="Y4" s="100"/>
      <x:c r="Z4" s="100"/>
      <x:c r="AA4" s="100"/>
      <x:c r="AB4" s="100"/>
      <x:c r="AC4" s="100"/>
    </x:row>
    <x:row r="5" ht="26" customHeight="1">
      <x:c r="A5" s="106" t="str">
        <x:v>단계</x:v>
      </x:c>
      <x:c r="B5" s="106" t="str">
        <x:v>구분</x:v>
      </x:c>
      <x:c r="C5" s="106" t="str">
        <x:v>세부 작업</x:v>
      </x:c>
      <x:c r="D5" s="106" t="str">
        <x:v>담당자</x:v>
      </x:c>
      <x:c r="E5" s="106" t="str">
        <x:v>시작일</x:v>
      </x:c>
      <x:c r="F5" s="106" t="str">
        <x:v>종료일</x:v>
      </x:c>
      <x:c r="G5" s="106" t="str">
        <x:v>완료율</x:v>
      </x:c>
      <x:c r="H5" s="106" t="str">
        <x:v>상태</x:v>
      </x:c>
      <x:c r="I5" s="145" t="n">
        <x:v>46213</x:v>
      </x:c>
      <x:c r="J5" s="145" t="n">
        <x:v>46216</x:v>
      </x:c>
      <x:c r="K5" s="145" t="n">
        <x:v>46217</x:v>
      </x:c>
      <x:c r="L5" s="145" t="n">
        <x:v>46218</x:v>
      </x:c>
      <x:c r="M5" s="145" t="n">
        <x:v>46219</x:v>
      </x:c>
      <x:c r="N5" s="145" t="n">
        <x:v>46220</x:v>
      </x:c>
      <x:c r="O5" s="145" t="n">
        <x:v>46223</x:v>
      </x:c>
      <x:c r="P5" s="145" t="n">
        <x:v>46224</x:v>
      </x:c>
      <x:c r="Q5" s="145" t="n">
        <x:v>46225</x:v>
      </x:c>
      <x:c r="R5" s="145" t="n">
        <x:v>46226</x:v>
      </x:c>
      <x:c r="S5" s="145" t="n">
        <x:v>46227</x:v>
      </x:c>
      <x:c r="T5" s="145" t="n">
        <x:v>46230</x:v>
      </x:c>
      <x:c r="U5" s="145" t="n">
        <x:v>46231</x:v>
      </x:c>
      <x:c r="V5" s="145" t="n">
        <x:v>46232</x:v>
      </x:c>
      <x:c r="W5" s="145" t="n">
        <x:v>46233</x:v>
      </x:c>
      <x:c r="X5" s="145" t="n">
        <x:v>46234</x:v>
      </x:c>
      <x:c r="Y5" s="145" t="n">
        <x:v>46237</x:v>
      </x:c>
      <x:c r="Z5" s="145" t="n">
        <x:v>46238</x:v>
      </x:c>
      <x:c r="AA5" s="145" t="n">
        <x:v>46239</x:v>
      </x:c>
      <x:c r="AB5" s="145" t="n">
        <x:v>46240</x:v>
      </x:c>
      <x:c r="AC5" s="145" t="n">
        <x:v>46241</x:v>
      </x:c>
    </x:row>
    <x:row r="6" ht="28" customHeight="1">
      <x:c r="A6" s="127" t="str">
        <x:v>개발</x:v>
      </x:c>
      <x:c r="B6" s="128" t="str">
        <x:v>입력 UI</x:v>
      </x:c>
      <x:c r="C6" s="136" t="str">
        <x:v>자연어 입력·빠른 조건 태그 구현</x:v>
      </x:c>
      <x:c r="D6" s="133" t="str"/>
      <x:c r="E6" s="139" t="n">
        <x:v>46235</x:v>
      </x:c>
      <x:c r="F6" s="139" t="n">
        <x:v>46237</x:v>
      </x:c>
      <x:c r="G6" s="142" t="n">
        <x:v>1</x:v>
      </x:c>
      <x:c r="H6" s="118" t="str">
        <x:f>IF(G6=1,"완료",IF(G6&gt;0,"진행 중","예정"))</x:f>
        <x:v>완료</x:v>
      </x:c>
      <x:c r="I6" s="120" t="str"/>
      <x:c r="J6" s="120" t="str"/>
      <x:c r="K6" s="120" t="str"/>
      <x:c r="L6" s="120" t="str"/>
      <x:c r="M6" s="120" t="str"/>
      <x:c r="N6" s="120" t="str"/>
      <x:c r="O6" s="120" t="str"/>
      <x:c r="P6" s="120" t="str"/>
      <x:c r="Q6" s="120" t="str"/>
      <x:c r="R6" s="120" t="str"/>
      <x:c r="S6" s="120" t="str"/>
      <x:c r="T6" s="120" t="str"/>
      <x:c r="U6" s="120" t="str"/>
      <x:c r="V6" s="120" t="str"/>
      <x:c r="W6" s="120" t="str"/>
      <x:c r="X6" s="120" t="str"/>
      <x:c r="Y6" s="119" t="str"/>
      <x:c r="Z6" s="120" t="str"/>
      <x:c r="AA6" s="120" t="str"/>
      <x:c r="AB6" s="120" t="str"/>
      <x:c r="AC6" s="120" t="str"/>
    </x:row>
    <x:row r="7" ht="28" customHeight="1">
      <x:c r="A7" s="129" t="str">
        <x:v>개발</x:v>
      </x:c>
      <x:c r="B7" s="130" t="str">
        <x:v>로딩 UI</x:v>
      </x:c>
      <x:c r="C7" s="137" t="str">
        <x:v>스피너·단계별 생성 상태 구현</x:v>
      </x:c>
      <x:c r="D7" s="134" t="str"/>
      <x:c r="E7" s="140" t="n">
        <x:v>46235</x:v>
      </x:c>
      <x:c r="F7" s="140" t="n">
        <x:v>46238</x:v>
      </x:c>
      <x:c r="G7" s="143" t="n">
        <x:v>1</x:v>
      </x:c>
      <x:c r="H7" s="123" t="str">
        <x:f>IF(G7=1,"완료",IF(G7&gt;0,"진행 중","예정"))</x:f>
        <x:v>완료</x:v>
      </x:c>
      <x:c r="I7" s="120" t="str"/>
      <x:c r="J7" s="120" t="str"/>
      <x:c r="K7" s="120" t="str"/>
      <x:c r="L7" s="120" t="str"/>
      <x:c r="M7" s="120" t="str"/>
      <x:c r="N7" s="120" t="str"/>
      <x:c r="O7" s="120" t="str"/>
      <x:c r="P7" s="120" t="str"/>
      <x:c r="Q7" s="120" t="str"/>
      <x:c r="R7" s="120" t="str"/>
      <x:c r="S7" s="120" t="str"/>
      <x:c r="T7" s="120" t="str"/>
      <x:c r="U7" s="120" t="str"/>
      <x:c r="V7" s="120" t="str"/>
      <x:c r="W7" s="120" t="str"/>
      <x:c r="X7" s="120" t="str"/>
      <x:c r="Y7" s="119" t="str"/>
      <x:c r="Z7" s="119" t="str"/>
      <x:c r="AA7" s="120" t="str"/>
      <x:c r="AB7" s="120" t="str"/>
      <x:c r="AC7" s="120" t="str"/>
    </x:row>
    <x:row r="8" ht="28" customHeight="1">
      <x:c r="A8" s="129" t="str">
        <x:v>개발</x:v>
      </x:c>
      <x:c r="B8" s="130" t="str">
        <x:v>결과 UI</x:v>
      </x:c>
      <x:c r="C8" s="137" t="str">
        <x:v>추천 부품·총금액·설명 출력</x:v>
      </x:c>
      <x:c r="D8" s="134" t="str"/>
      <x:c r="E8" s="140" t="n">
        <x:v>46237</x:v>
      </x:c>
      <x:c r="F8" s="140" t="n">
        <x:v>46239</x:v>
      </x:c>
      <x:c r="G8" s="143" t="n">
        <x:v>1</x:v>
      </x:c>
      <x:c r="H8" s="123" t="str">
        <x:f>IF(G8=1,"완료",IF(G8&gt;0,"진행 중","예정"))</x:f>
        <x:v>완료</x:v>
      </x:c>
      <x:c r="I8" s="120" t="str"/>
      <x:c r="J8" s="120" t="str"/>
      <x:c r="K8" s="120" t="str"/>
      <x:c r="L8" s="120" t="str"/>
      <x:c r="M8" s="120" t="str"/>
      <x:c r="N8" s="120" t="str"/>
      <x:c r="O8" s="120" t="str"/>
      <x:c r="P8" s="120" t="str"/>
      <x:c r="Q8" s="120" t="str"/>
      <x:c r="R8" s="120" t="str"/>
      <x:c r="S8" s="120" t="str"/>
      <x:c r="T8" s="120" t="str"/>
      <x:c r="U8" s="120" t="str"/>
      <x:c r="V8" s="120" t="str"/>
      <x:c r="W8" s="120" t="str"/>
      <x:c r="X8" s="120" t="str"/>
      <x:c r="Y8" s="119" t="str"/>
      <x:c r="Z8" s="119" t="str"/>
      <x:c r="AA8" s="119" t="str"/>
      <x:c r="AB8" s="120" t="str"/>
      <x:c r="AC8" s="120" t="str"/>
    </x:row>
    <x:row r="9" ht="28" customHeight="1">
      <x:c r="A9" s="129" t="str">
        <x:v>개발</x:v>
      </x:c>
      <x:c r="B9" s="130" t="str">
        <x:v>Gemini</x:v>
      </x:c>
      <x:c r="C9" s="137" t="str">
        <x:v>상품 CSV 구성·파일 업로드</x:v>
      </x:c>
      <x:c r="D9" s="134" t="str"/>
      <x:c r="E9" s="140" t="n">
        <x:v>46235</x:v>
      </x:c>
      <x:c r="F9" s="140" t="n">
        <x:v>46238</x:v>
      </x:c>
      <x:c r="G9" s="143" t="n">
        <x:v>1</x:v>
      </x:c>
      <x:c r="H9" s="123" t="str">
        <x:f>IF(G9=1,"완료",IF(G9&gt;0,"진행 중","예정"))</x:f>
        <x:v>완료</x:v>
      </x:c>
      <x:c r="I9" s="120" t="str"/>
      <x:c r="J9" s="120" t="str"/>
      <x:c r="K9" s="120" t="str"/>
      <x:c r="L9" s="120" t="str"/>
      <x:c r="M9" s="120" t="str"/>
      <x:c r="N9" s="120" t="str"/>
      <x:c r="O9" s="120" t="str"/>
      <x:c r="P9" s="120" t="str"/>
      <x:c r="Q9" s="120" t="str"/>
      <x:c r="R9" s="120" t="str"/>
      <x:c r="S9" s="120" t="str"/>
      <x:c r="T9" s="120" t="str"/>
      <x:c r="U9" s="120" t="str"/>
      <x:c r="V9" s="120" t="str"/>
      <x:c r="W9" s="120" t="str"/>
      <x:c r="X9" s="120" t="str"/>
      <x:c r="Y9" s="119" t="str"/>
      <x:c r="Z9" s="119" t="str"/>
      <x:c r="AA9" s="120" t="str"/>
      <x:c r="AB9" s="120" t="str"/>
      <x:c r="AC9" s="120" t="str"/>
    </x:row>
    <x:row r="10" ht="28" customHeight="1">
      <x:c r="A10" s="129" t="str">
        <x:v>개발</x:v>
      </x:c>
      <x:c r="B10" s="130" t="str">
        <x:v>Gemini</x:v>
      </x:c>
      <x:c r="C10" s="137" t="str">
        <x:v>시스템 프롬프트·JSON 응답 파싱</x:v>
      </x:c>
      <x:c r="D10" s="134" t="str"/>
      <x:c r="E10" s="140" t="n">
        <x:v>46237</x:v>
      </x:c>
      <x:c r="F10" s="140" t="n">
        <x:v>46240</x:v>
      </x:c>
      <x:c r="G10" s="143" t="n">
        <x:v>0.9</x:v>
      </x:c>
      <x:c r="H10" s="151" t="str">
        <x:f>IF(G10=1,"완료",IF(G10&gt;0,"진행 중","예정"))</x:f>
        <x:v>진행 중</x:v>
      </x:c>
      <x:c r="I10" s="120" t="str"/>
      <x:c r="J10" s="120" t="str"/>
      <x:c r="K10" s="120" t="str"/>
      <x:c r="L10" s="120" t="str"/>
      <x:c r="M10" s="120" t="str"/>
      <x:c r="N10" s="120" t="str"/>
      <x:c r="O10" s="120" t="str"/>
      <x:c r="P10" s="120" t="str"/>
      <x:c r="Q10" s="120" t="str"/>
      <x:c r="R10" s="120" t="str"/>
      <x:c r="S10" s="120" t="str"/>
      <x:c r="T10" s="120" t="str"/>
      <x:c r="U10" s="120" t="str"/>
      <x:c r="V10" s="120" t="str"/>
      <x:c r="W10" s="120" t="str"/>
      <x:c r="X10" s="120" t="str"/>
      <x:c r="Y10" s="152" t="str"/>
      <x:c r="Z10" s="152" t="str"/>
      <x:c r="AA10" s="152" t="str"/>
      <x:c r="AB10" s="152" t="str"/>
      <x:c r="AC10" s="120" t="str"/>
    </x:row>
    <x:row r="11" ht="28" customHeight="1">
      <x:c r="A11" s="129" t="str">
        <x:v>개발</x:v>
      </x:c>
      <x:c r="B11" s="130" t="str">
        <x:v>매핑</x:v>
      </x:c>
      <x:c r="C11" s="137" t="str">
        <x:v>임시 상품 ID와 업로드 상품 매핑</x:v>
      </x:c>
      <x:c r="D11" s="134" t="str"/>
      <x:c r="E11" s="140" t="n">
        <x:v>46238</x:v>
      </x:c>
      <x:c r="F11" s="140" t="n">
        <x:v>46240</x:v>
      </x:c>
      <x:c r="G11" s="143" t="n">
        <x:v>0.9</x:v>
      </x:c>
      <x:c r="H11" s="151" t="str">
        <x:f>IF(G11=1,"완료",IF(G11&gt;0,"진행 중","예정"))</x:f>
        <x:v>진행 중</x:v>
      </x:c>
      <x:c r="I11" s="120" t="str"/>
      <x:c r="J11" s="120" t="str"/>
      <x:c r="K11" s="120" t="str"/>
      <x:c r="L11" s="120" t="str"/>
      <x:c r="M11" s="120" t="str"/>
      <x:c r="N11" s="120" t="str"/>
      <x:c r="O11" s="120" t="str"/>
      <x:c r="P11" s="120" t="str"/>
      <x:c r="Q11" s="120" t="str"/>
      <x:c r="R11" s="120" t="str"/>
      <x:c r="S11" s="120" t="str"/>
      <x:c r="T11" s="120" t="str"/>
      <x:c r="U11" s="120" t="str"/>
      <x:c r="V11" s="120" t="str"/>
      <x:c r="W11" s="120" t="str"/>
      <x:c r="X11" s="120" t="str"/>
      <x:c r="Y11" s="120" t="str"/>
      <x:c r="Z11" s="152" t="str"/>
      <x:c r="AA11" s="152" t="str"/>
      <x:c r="AB11" s="152" t="str"/>
      <x:c r="AC11" s="120" t="str"/>
    </x:row>
    <x:row r="12" ht="28" customHeight="1">
      <x:c r="A12" s="129" t="str">
        <x:v>개발</x:v>
      </x:c>
      <x:c r="B12" s="130" t="str">
        <x:v>검증</x:v>
      </x:c>
      <x:c r="C12" s="137" t="str">
        <x:v>DB 상품명 확인·추천 결과 저장</x:v>
      </x:c>
      <x:c r="D12" s="134" t="str"/>
      <x:c r="E12" s="140" t="n">
        <x:v>46238</x:v>
      </x:c>
      <x:c r="F12" s="140" t="n">
        <x:v>46241</x:v>
      </x:c>
      <x:c r="G12" s="143" t="n">
        <x:v>0.9</x:v>
      </x:c>
      <x:c r="H12" s="151" t="str">
        <x:f>IF(G12=1,"완료",IF(G12&gt;0,"진행 중","예정"))</x:f>
        <x:v>진행 중</x:v>
      </x:c>
      <x:c r="I12" s="120" t="str"/>
      <x:c r="J12" s="120" t="str"/>
      <x:c r="K12" s="120" t="str"/>
      <x:c r="L12" s="120" t="str"/>
      <x:c r="M12" s="120" t="str"/>
      <x:c r="N12" s="120" t="str"/>
      <x:c r="O12" s="120" t="str"/>
      <x:c r="P12" s="120" t="str"/>
      <x:c r="Q12" s="120" t="str"/>
      <x:c r="R12" s="120" t="str"/>
      <x:c r="S12" s="120" t="str"/>
      <x:c r="T12" s="120" t="str"/>
      <x:c r="U12" s="120" t="str"/>
      <x:c r="V12" s="120" t="str"/>
      <x:c r="W12" s="120" t="str"/>
      <x:c r="X12" s="120" t="str"/>
      <x:c r="Y12" s="120" t="str"/>
      <x:c r="Z12" s="152" t="str"/>
      <x:c r="AA12" s="152" t="str"/>
      <x:c r="AB12" s="152" t="str"/>
      <x:c r="AC12" s="152" t="str"/>
    </x:row>
    <x:row r="13" ht="28" customHeight="1">
      <x:c r="A13" s="129" t="str">
        <x:v>개발</x:v>
      </x:c>
      <x:c r="B13" s="130" t="str">
        <x:v>예외 처리</x:v>
      </x:c>
      <x:c r="C13" s="137" t="str">
        <x:v>Gemini 오류 응답·재시도 처리</x:v>
      </x:c>
      <x:c r="D13" s="134" t="str"/>
      <x:c r="E13" s="140" t="n">
        <x:v>46239</x:v>
      </x:c>
      <x:c r="F13" s="140" t="n">
        <x:v>46241</x:v>
      </x:c>
      <x:c r="G13" s="143" t="n">
        <x:v>0.8</x:v>
      </x:c>
      <x:c r="H13" s="151" t="str">
        <x:f>IF(G13=1,"완료",IF(G13&gt;0,"진행 중","예정"))</x:f>
        <x:v>진행 중</x:v>
      </x:c>
      <x:c r="I13" s="120" t="str"/>
      <x:c r="J13" s="120" t="str"/>
      <x:c r="K13" s="120" t="str"/>
      <x:c r="L13" s="120" t="str"/>
      <x:c r="M13" s="120" t="str"/>
      <x:c r="N13" s="120" t="str"/>
      <x:c r="O13" s="120" t="str"/>
      <x:c r="P13" s="120" t="str"/>
      <x:c r="Q13" s="120" t="str"/>
      <x:c r="R13" s="120" t="str"/>
      <x:c r="S13" s="120" t="str"/>
      <x:c r="T13" s="120" t="str"/>
      <x:c r="U13" s="120" t="str"/>
      <x:c r="V13" s="120" t="str"/>
      <x:c r="W13" s="120" t="str"/>
      <x:c r="X13" s="120" t="str"/>
      <x:c r="Y13" s="120" t="str"/>
      <x:c r="Z13" s="120" t="str"/>
      <x:c r="AA13" s="152" t="str"/>
      <x:c r="AB13" s="152" t="str"/>
      <x:c r="AC13" s="152" t="str"/>
    </x:row>
    <x:row r="14" ht="28" customHeight="1">
      <x:c r="A14" s="129" t="str">
        <x:v>개발</x:v>
      </x:c>
      <x:c r="B14" s="130" t="str">
        <x:v>연동</x:v>
      </x:c>
      <x:c r="C14" s="137" t="str">
        <x:v>AI 결과를 직접 견적 수정 화면으로 전달</x:v>
      </x:c>
      <x:c r="D14" s="134" t="str"/>
      <x:c r="E14" s="140" t="n">
        <x:v>46239</x:v>
      </x:c>
      <x:c r="F14" s="140" t="n">
        <x:v>46241</x:v>
      </x:c>
      <x:c r="G14" s="143" t="n">
        <x:v>0.9</x:v>
      </x:c>
      <x:c r="H14" s="151" t="str">
        <x:f>IF(G14=1,"완료",IF(G14&gt;0,"진행 중","예정"))</x:f>
        <x:v>진행 중</x:v>
      </x:c>
      <x:c r="I14" s="120" t="str"/>
      <x:c r="J14" s="120" t="str"/>
      <x:c r="K14" s="120" t="str"/>
      <x:c r="L14" s="120" t="str"/>
      <x:c r="M14" s="120" t="str"/>
      <x:c r="N14" s="120" t="str"/>
      <x:c r="O14" s="120" t="str"/>
      <x:c r="P14" s="120" t="str"/>
      <x:c r="Q14" s="120" t="str"/>
      <x:c r="R14" s="120" t="str"/>
      <x:c r="S14" s="120" t="str"/>
      <x:c r="T14" s="120" t="str"/>
      <x:c r="U14" s="120" t="str"/>
      <x:c r="V14" s="120" t="str"/>
      <x:c r="W14" s="120" t="str"/>
      <x:c r="X14" s="120" t="str"/>
      <x:c r="Y14" s="120" t="str"/>
      <x:c r="Z14" s="120" t="str"/>
      <x:c r="AA14" s="152" t="str"/>
      <x:c r="AB14" s="152" t="str"/>
      <x:c r="AC14" s="152" t="str"/>
    </x:row>
    <x:row r="15" ht="28" customHeight="1">
      <x:c r="A15" s="129" t="str">
        <x:v>개발</x:v>
      </x:c>
      <x:c r="B15" s="130" t="str">
        <x:v>연동</x:v>
      </x:c>
      <x:c r="C15" s="137" t="str">
        <x:v>생성 견적을 견적 단위로 장바구니 추가</x:v>
      </x:c>
      <x:c r="D15" s="134" t="str"/>
      <x:c r="E15" s="140" t="n">
        <x:v>46240</x:v>
      </x:c>
      <x:c r="F15" s="140" t="n">
        <x:v>46241</x:v>
      </x:c>
      <x:c r="G15" s="143" t="n">
        <x:v>0.9</x:v>
      </x:c>
      <x:c r="H15" s="151" t="str">
        <x:f>IF(G15=1,"완료",IF(G15&gt;0,"진행 중","예정"))</x:f>
        <x:v>진행 중</x:v>
      </x:c>
      <x:c r="I15" s="120" t="str"/>
      <x:c r="J15" s="120" t="str"/>
      <x:c r="K15" s="120" t="str"/>
      <x:c r="L15" s="120" t="str"/>
      <x:c r="M15" s="120" t="str"/>
      <x:c r="N15" s="120" t="str"/>
      <x:c r="O15" s="120" t="str"/>
      <x:c r="P15" s="120" t="str"/>
      <x:c r="Q15" s="120" t="str"/>
      <x:c r="R15" s="120" t="str"/>
      <x:c r="S15" s="120" t="str"/>
      <x:c r="T15" s="120" t="str"/>
      <x:c r="U15" s="120" t="str"/>
      <x:c r="V15" s="120" t="str"/>
      <x:c r="W15" s="120" t="str"/>
      <x:c r="X15" s="120" t="str"/>
      <x:c r="Y15" s="120" t="str"/>
      <x:c r="Z15" s="120" t="str"/>
      <x:c r="AA15" s="120" t="str"/>
      <x:c r="AB15" s="152" t="str"/>
      <x:c r="AC15" s="152" t="str"/>
    </x:row>
    <x:row r="16" ht="28" customHeight="1">
      <x:c r="A16" s="129" t="str">
        <x:v>테스트</x:v>
      </x:c>
      <x:c r="B16" s="130" t="str">
        <x:v>AI 견적</x:v>
      </x:c>
      <x:c r="C16" s="137" t="str">
        <x:v>정상·오류·빈 응답·장바구니 연동 테스트</x:v>
      </x:c>
      <x:c r="D16" s="134" t="str"/>
      <x:c r="E16" s="140" t="n">
        <x:v>46240</x:v>
      </x:c>
      <x:c r="F16" s="140" t="n">
        <x:v>46241</x:v>
      </x:c>
      <x:c r="G16" s="143" t="n">
        <x:v>0.75</x:v>
      </x:c>
      <x:c r="H16" s="151" t="str">
        <x:f>IF(G16=1,"완료",IF(G16&gt;0,"진행 중","예정"))</x:f>
        <x:v>진행 중</x:v>
      </x:c>
      <x:c r="I16" s="120" t="str"/>
      <x:c r="J16" s="120" t="str"/>
      <x:c r="K16" s="120" t="str"/>
      <x:c r="L16" s="120" t="str"/>
      <x:c r="M16" s="120" t="str"/>
      <x:c r="N16" s="120" t="str"/>
      <x:c r="O16" s="120" t="str"/>
      <x:c r="P16" s="120" t="str"/>
      <x:c r="Q16" s="120" t="str"/>
      <x:c r="R16" s="120" t="str"/>
      <x:c r="S16" s="120" t="str"/>
      <x:c r="T16" s="120" t="str"/>
      <x:c r="U16" s="120" t="str"/>
      <x:c r="V16" s="120" t="str"/>
      <x:c r="W16" s="120" t="str"/>
      <x:c r="X16" s="120" t="str"/>
      <x:c r="Y16" s="120" t="str"/>
      <x:c r="Z16" s="120" t="str"/>
      <x:c r="AA16" s="120" t="str"/>
      <x:c r="AB16" s="152" t="str"/>
      <x:c r="AC16" s="152" t="str"/>
    </x:row>
    <x:row r="17" ht="28" customHeight="1">
      <x:c r="A17" s="129" t="str">
        <x:v>개발</x:v>
      </x:c>
      <x:c r="B17" s="130" t="str">
        <x:v>Controller</x:v>
      </x:c>
      <x:c r="C17" s="137" t="str">
        <x:v>AI 견적 요청 입력값 검증·서비스 호출</x:v>
      </x:c>
      <x:c r="D17" s="134" t="str"/>
      <x:c r="E17" s="140" t="n">
        <x:v>46235</x:v>
      </x:c>
      <x:c r="F17" s="140" t="n">
        <x:v>46237</x:v>
      </x:c>
      <x:c r="G17" s="143" t="n">
        <x:v>1</x:v>
      </x:c>
      <x:c r="H17" s="123" t="str">
        <x:f>IF(G17=1,"완료",IF(G17&gt;0,"진행 중","예정"))</x:f>
        <x:v>완료</x:v>
      </x:c>
      <x:c r="I17" s="120" t="str"/>
      <x:c r="J17" s="120" t="str"/>
      <x:c r="K17" s="120" t="str"/>
      <x:c r="L17" s="120" t="str"/>
      <x:c r="M17" s="120" t="str"/>
      <x:c r="N17" s="120" t="str"/>
      <x:c r="O17" s="120" t="str"/>
      <x:c r="P17" s="120" t="str"/>
      <x:c r="Q17" s="120" t="str"/>
      <x:c r="R17" s="120" t="str"/>
      <x:c r="S17" s="120" t="str"/>
      <x:c r="T17" s="120" t="str"/>
      <x:c r="U17" s="120" t="str"/>
      <x:c r="V17" s="120" t="str"/>
      <x:c r="W17" s="120" t="str"/>
      <x:c r="X17" s="120" t="str"/>
      <x:c r="Y17" s="119" t="str"/>
      <x:c r="Z17" s="120" t="str"/>
      <x:c r="AA17" s="120" t="str"/>
      <x:c r="AB17" s="120" t="str"/>
      <x:c r="AC17" s="120" t="str"/>
    </x:row>
    <x:row r="18" ht="28" customHeight="1">
      <x:c r="A18" s="129" t="str">
        <x:v>개발</x:v>
      </x:c>
      <x:c r="B18" s="130" t="str">
        <x:v>CSV 구성</x:v>
      </x:c>
      <x:c r="C18" s="137" t="str">
        <x:v>DB 상품 목록을 Gemini 전달용 CSV로 변환</x:v>
      </x:c>
      <x:c r="D18" s="134" t="str"/>
      <x:c r="E18" s="140" t="n">
        <x:v>46235</x:v>
      </x:c>
      <x:c r="F18" s="140" t="n">
        <x:v>46238</x:v>
      </x:c>
      <x:c r="G18" s="143" t="n">
        <x:v>1</x:v>
      </x:c>
      <x:c r="H18" s="123" t="str">
        <x:f>IF(G18=1,"완료",IF(G18&gt;0,"진행 중","예정"))</x:f>
        <x:v>완료</x:v>
      </x:c>
      <x:c r="I18" s="120" t="str"/>
      <x:c r="J18" s="120" t="str"/>
      <x:c r="K18" s="120" t="str"/>
      <x:c r="L18" s="120" t="str"/>
      <x:c r="M18" s="120" t="str"/>
      <x:c r="N18" s="120" t="str"/>
      <x:c r="O18" s="120" t="str"/>
      <x:c r="P18" s="120" t="str"/>
      <x:c r="Q18" s="120" t="str"/>
      <x:c r="R18" s="120" t="str"/>
      <x:c r="S18" s="120" t="str"/>
      <x:c r="T18" s="120" t="str"/>
      <x:c r="U18" s="120" t="str"/>
      <x:c r="V18" s="120" t="str"/>
      <x:c r="W18" s="120" t="str"/>
      <x:c r="X18" s="120" t="str"/>
      <x:c r="Y18" s="119" t="str"/>
      <x:c r="Z18" s="119" t="str"/>
      <x:c r="AA18" s="120" t="str"/>
      <x:c r="AB18" s="120" t="str"/>
      <x:c r="AC18" s="120" t="str"/>
    </x:row>
    <x:row r="19" ht="28" customHeight="1">
      <x:c r="A19" s="129" t="str">
        <x:v>개발</x:v>
      </x:c>
      <x:c r="B19" s="130" t="str">
        <x:v>File API</x:v>
      </x:c>
      <x:c r="C19" s="137" t="str">
        <x:v>CSV 업로드와 업로드 파일 참조 처리</x:v>
      </x:c>
      <x:c r="D19" s="134" t="str"/>
      <x:c r="E19" s="140" t="n">
        <x:v>46237</x:v>
      </x:c>
      <x:c r="F19" s="140" t="n">
        <x:v>46239</x:v>
      </x:c>
      <x:c r="G19" s="143" t="n">
        <x:v>0.9</x:v>
      </x:c>
      <x:c r="H19" s="151" t="str">
        <x:f>IF(G19=1,"완료",IF(G19&gt;0,"진행 중","예정"))</x:f>
        <x:v>진행 중</x:v>
      </x:c>
      <x:c r="I19" s="120" t="str"/>
      <x:c r="J19" s="120" t="str"/>
      <x:c r="K19" s="120" t="str"/>
      <x:c r="L19" s="120" t="str"/>
      <x:c r="M19" s="120" t="str"/>
      <x:c r="N19" s="120" t="str"/>
      <x:c r="O19" s="120" t="str"/>
      <x:c r="P19" s="120" t="str"/>
      <x:c r="Q19" s="120" t="str"/>
      <x:c r="R19" s="120" t="str"/>
      <x:c r="S19" s="120" t="str"/>
      <x:c r="T19" s="120" t="str"/>
      <x:c r="U19" s="120" t="str"/>
      <x:c r="V19" s="120" t="str"/>
      <x:c r="W19" s="120" t="str"/>
      <x:c r="X19" s="120" t="str"/>
      <x:c r="Y19" s="152" t="str"/>
      <x:c r="Z19" s="152" t="str"/>
      <x:c r="AA19" s="152" t="str"/>
      <x:c r="AB19" s="120" t="str"/>
      <x:c r="AC19" s="120" t="str"/>
    </x:row>
    <x:row r="20" ht="28" customHeight="1">
      <x:c r="A20" s="129" t="str">
        <x:v>개발</x:v>
      </x:c>
      <x:c r="B20" s="130" t="str">
        <x:v>응답 파싱</x:v>
      </x:c>
      <x:c r="C20" s="137" t="str">
        <x:v>추천 설명·부품 임시 ID·가격 JSON 파싱</x:v>
      </x:c>
      <x:c r="D20" s="134" t="str"/>
      <x:c r="E20" s="140" t="n">
        <x:v>46237</x:v>
      </x:c>
      <x:c r="F20" s="140" t="n">
        <x:v>46240</x:v>
      </x:c>
      <x:c r="G20" s="143" t="n">
        <x:v>0.9</x:v>
      </x:c>
      <x:c r="H20" s="151" t="str">
        <x:f>IF(G20=1,"완료",IF(G20&gt;0,"진행 중","예정"))</x:f>
        <x:v>진행 중</x:v>
      </x:c>
      <x:c r="I20" s="120" t="str"/>
      <x:c r="J20" s="120" t="str"/>
      <x:c r="K20" s="120" t="str"/>
      <x:c r="L20" s="120" t="str"/>
      <x:c r="M20" s="120" t="str"/>
      <x:c r="N20" s="120" t="str"/>
      <x:c r="O20" s="120" t="str"/>
      <x:c r="P20" s="120" t="str"/>
      <x:c r="Q20" s="120" t="str"/>
      <x:c r="R20" s="120" t="str"/>
      <x:c r="S20" s="120" t="str"/>
      <x:c r="T20" s="120" t="str"/>
      <x:c r="U20" s="120" t="str"/>
      <x:c r="V20" s="120" t="str"/>
      <x:c r="W20" s="120" t="str"/>
      <x:c r="X20" s="120" t="str"/>
      <x:c r="Y20" s="152" t="str"/>
      <x:c r="Z20" s="152" t="str"/>
      <x:c r="AA20" s="152" t="str"/>
      <x:c r="AB20" s="152" t="str"/>
      <x:c r="AC20" s="120" t="str"/>
    </x:row>
    <x:row r="21" ht="28" customHeight="1">
      <x:c r="A21" s="129" t="str">
        <x:v>개발</x:v>
      </x:c>
      <x:c r="B21" s="130" t="str">
        <x:v>상품 검증</x:v>
      </x:c>
      <x:c r="C21" s="137" t="str">
        <x:v>임시 ID 매핑 후 DB 상품명 일치 여부 확인</x:v>
      </x:c>
      <x:c r="D21" s="134" t="str"/>
      <x:c r="E21" s="140" t="n">
        <x:v>46238</x:v>
      </x:c>
      <x:c r="F21" s="140" t="n">
        <x:v>46241</x:v>
      </x:c>
      <x:c r="G21" s="143" t="n">
        <x:v>0.9</x:v>
      </x:c>
      <x:c r="H21" s="151" t="str">
        <x:f>IF(G21=1,"완료",IF(G21&gt;0,"진행 중","예정"))</x:f>
        <x:v>진행 중</x:v>
      </x:c>
      <x:c r="I21" s="120" t="str"/>
      <x:c r="J21" s="120" t="str"/>
      <x:c r="K21" s="120" t="str"/>
      <x:c r="L21" s="120" t="str"/>
      <x:c r="M21" s="120" t="str"/>
      <x:c r="N21" s="120" t="str"/>
      <x:c r="O21" s="120" t="str"/>
      <x:c r="P21" s="120" t="str"/>
      <x:c r="Q21" s="120" t="str"/>
      <x:c r="R21" s="120" t="str"/>
      <x:c r="S21" s="120" t="str"/>
      <x:c r="T21" s="120" t="str"/>
      <x:c r="U21" s="120" t="str"/>
      <x:c r="V21" s="120" t="str"/>
      <x:c r="W21" s="120" t="str"/>
      <x:c r="X21" s="120" t="str"/>
      <x:c r="Y21" s="120" t="str"/>
      <x:c r="Z21" s="152" t="str"/>
      <x:c r="AA21" s="152" t="str"/>
      <x:c r="AB21" s="152" t="str"/>
      <x:c r="AC21" s="152" t="str"/>
    </x:row>
    <x:row r="22" ht="28" customHeight="1">
      <x:c r="A22" s="129" t="str">
        <x:v>개발</x:v>
      </x:c>
      <x:c r="B22" s="130" t="str">
        <x:v>저장</x:v>
      </x:c>
      <x:c r="C22" s="137" t="str">
        <x:v>AI 추천 응답과 생성 견적 저장</x:v>
      </x:c>
      <x:c r="D22" s="134" t="str"/>
      <x:c r="E22" s="140" t="n">
        <x:v>46238</x:v>
      </x:c>
      <x:c r="F22" s="140" t="n">
        <x:v>46241</x:v>
      </x:c>
      <x:c r="G22" s="143" t="n">
        <x:v>0.9</x:v>
      </x:c>
      <x:c r="H22" s="151" t="str">
        <x:f>IF(G22=1,"완료",IF(G22&gt;0,"진행 중","예정"))</x:f>
        <x:v>진행 중</x:v>
      </x:c>
      <x:c r="I22" s="120" t="str"/>
      <x:c r="J22" s="120" t="str"/>
      <x:c r="K22" s="120" t="str"/>
      <x:c r="L22" s="120" t="str"/>
      <x:c r="M22" s="120" t="str"/>
      <x:c r="N22" s="120" t="str"/>
      <x:c r="O22" s="120" t="str"/>
      <x:c r="P22" s="120" t="str"/>
      <x:c r="Q22" s="120" t="str"/>
      <x:c r="R22" s="120" t="str"/>
      <x:c r="S22" s="120" t="str"/>
      <x:c r="T22" s="120" t="str"/>
      <x:c r="U22" s="120" t="str"/>
      <x:c r="V22" s="120" t="str"/>
      <x:c r="W22" s="120" t="str"/>
      <x:c r="X22" s="120" t="str"/>
      <x:c r="Y22" s="120" t="str"/>
      <x:c r="Z22" s="152" t="str"/>
      <x:c r="AA22" s="152" t="str"/>
      <x:c r="AB22" s="152" t="str"/>
      <x:c r="AC22" s="152" t="str"/>
    </x:row>
    <x:row r="23" ht="28" customHeight="1">
      <x:c r="A23" s="131" t="str">
        <x:v>개발</x:v>
      </x:c>
      <x:c r="B23" s="132" t="str">
        <x:v>재시도</x:v>
      </x:c>
      <x:c r="C23" s="138" t="str">
        <x:v>서버 오류 발생 시 최대 횟수 재요청</x:v>
      </x:c>
      <x:c r="D23" s="135" t="str"/>
      <x:c r="E23" s="141" t="n">
        <x:v>46239</x:v>
      </x:c>
      <x:c r="F23" s="141" t="n">
        <x:v>46241</x:v>
      </x:c>
      <x:c r="G23" s="144" t="n">
        <x:v>0.8</x:v>
      </x:c>
      <x:c r="H23" s="153" t="str">
        <x:f>IF(G23=1,"완료",IF(G23&gt;0,"진행 중","예정"))</x:f>
        <x:v>진행 중</x:v>
      </x:c>
      <x:c r="I23" s="120" t="str"/>
      <x:c r="J23" s="120" t="str"/>
      <x:c r="K23" s="120" t="str"/>
      <x:c r="L23" s="120" t="str"/>
      <x:c r="M23" s="120" t="str"/>
      <x:c r="N23" s="120" t="str"/>
      <x:c r="O23" s="120" t="str"/>
      <x:c r="P23" s="120" t="str"/>
      <x:c r="Q23" s="120" t="str"/>
      <x:c r="R23" s="120" t="str"/>
      <x:c r="S23" s="120" t="str"/>
      <x:c r="T23" s="120" t="str"/>
      <x:c r="U23" s="120" t="str"/>
      <x:c r="V23" s="120" t="str"/>
      <x:c r="W23" s="120" t="str"/>
      <x:c r="X23" s="120" t="str"/>
      <x:c r="Y23" s="120" t="str"/>
      <x:c r="Z23" s="120" t="str"/>
      <x:c r="AA23" s="152" t="str"/>
      <x:c r="AB23" s="152" t="str"/>
      <x:c r="AC23" s="152" t="str"/>
    </x:row>
  </x:sheetData>
  <x:mergeCells>
    <x:mergeCell ref="A1:AC1"/>
    <x:mergeCell ref="A2:AC2"/>
    <x:mergeCell ref="A4:H4"/>
    <x:mergeCell ref="I4:M4"/>
    <x:mergeCell ref="N4:R4"/>
    <x:mergeCell ref="S4:W4"/>
    <x:mergeCell ref="X4:AC4"/>
  </x:mergeCells>
  <x:dataValidations count="1">
    <x:dataValidation type="list" sqref="D6:D23">
      <x:formula1>"공동,팀장,팀원"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42" hidden="0" customWidth="1"/>
    <x:col min="4" max="4" width="10" hidden="0" customWidth="1"/>
    <x:col min="5" max="5" width="12" hidden="0" customWidth="1"/>
    <x:col min="6" max="6" width="12" hidden="0" customWidth="1"/>
    <x:col min="7" max="7" width="9" hidden="0" customWidth="1"/>
    <x:col min="8" max="8" width="11" hidden="0" customWidth="1"/>
    <x:col min="9" max="9" width="5" hidden="0" customWidth="1"/>
    <x:col min="10" max="10" width="5" hidden="0" customWidth="1"/>
    <x:col min="11" max="11" width="5" hidden="0" customWidth="1"/>
    <x:col min="12" max="12" width="5" hidden="0" customWidth="1"/>
    <x:col min="13" max="13" width="5" hidden="0" customWidth="1"/>
    <x:col min="14" max="14" width="5" hidden="0" customWidth="1"/>
    <x:col min="15" max="15" width="5" hidden="0" customWidth="1"/>
    <x:col min="16" max="16" width="5" hidden="0" customWidth="1"/>
    <x:col min="17" max="17" width="5" hidden="0" customWidth="1"/>
    <x:col min="18" max="18" width="5" hidden="0" customWidth="1"/>
    <x:col min="19" max="19" width="5" hidden="0" customWidth="1"/>
    <x:col min="20" max="20" width="5" hidden="0" customWidth="1"/>
    <x:col min="21" max="21" width="5" hidden="0" customWidth="1"/>
    <x:col min="22" max="22" width="5" hidden="0" customWidth="1"/>
    <x:col min="23" max="23" width="5" hidden="0" customWidth="1"/>
    <x:col min="24" max="24" width="5" hidden="0" customWidth="1"/>
    <x:col min="25" max="25" width="5" hidden="0" customWidth="1"/>
    <x:col min="26" max="26" width="5" hidden="0" customWidth="1"/>
    <x:col min="27" max="27" width="5" hidden="0" customWidth="1"/>
    <x:col min="28" max="28" width="5" hidden="0" customWidth="1"/>
    <x:col min="29" max="29" width="5" hidden="0" customWidth="1"/>
  </x:cols>
  <x:sheetData>
    <x:row r="1" ht="30" customHeight="1">
      <x:c r="A1" s="92" t="str">
        <x:v>COMPICK WBS | 장바구니·결제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92"/>
      <x:c r="P1" s="92"/>
      <x:c r="Q1" s="92"/>
      <x:c r="R1" s="92"/>
      <x:c r="S1" s="92"/>
      <x:c r="T1" s="92"/>
      <x:c r="U1" s="92"/>
      <x:c r="V1" s="92"/>
      <x:c r="W1" s="92"/>
      <x:c r="X1" s="92"/>
      <x:c r="Y1" s="92"/>
      <x:c r="Z1" s="92"/>
      <x:c r="AA1" s="92"/>
      <x:c r="AB1" s="92"/>
      <x:c r="AC1" s="92"/>
    </x:row>
    <x:row r="2" ht="22" customHeight="1">
      <x:c r="A2" s="95" t="str">
        <x:v>기준 기간 2026-07-10 ~ 2026-08-07  ·  녹색=완료 / 주황=진행 중 / 회색=예정</x:v>
      </x:c>
      <x:c r="B2" s="95"/>
      <x:c r="C2" s="95"/>
      <x:c r="D2" s="95"/>
      <x:c r="E2" s="95"/>
      <x:c r="F2" s="95"/>
      <x:c r="G2" s="95"/>
      <x:c r="H2" s="95"/>
      <x:c r="I2" s="95"/>
      <x:c r="J2" s="95"/>
      <x:c r="K2" s="95"/>
      <x:c r="L2" s="95"/>
      <x:c r="M2" s="95"/>
      <x:c r="N2" s="95"/>
      <x:c r="O2" s="95"/>
      <x:c r="P2" s="95"/>
      <x:c r="Q2" s="95"/>
      <x:c r="R2" s="95"/>
      <x:c r="S2" s="95"/>
      <x:c r="T2" s="95"/>
      <x:c r="U2" s="95"/>
      <x:c r="V2" s="95"/>
      <x:c r="W2" s="95"/>
      <x:c r="X2" s="95"/>
      <x:c r="Y2" s="95"/>
      <x:c r="Z2" s="95"/>
      <x:c r="AA2" s="95"/>
      <x:c r="AB2" s="95"/>
      <x:c r="AC2" s="95"/>
    </x:row>
    <x:row r="4" ht="26" customHeight="1">
      <x:c r="A4" s="100" t="str">
        <x:v>업무 정보</x:v>
      </x:c>
      <x:c r="B4" s="100"/>
      <x:c r="C4" s="100"/>
      <x:c r="D4" s="100"/>
      <x:c r="E4" s="100"/>
      <x:c r="F4" s="100"/>
      <x:c r="G4" s="100"/>
      <x:c r="H4" s="100"/>
      <x:c r="I4" s="100" t="str">
        <x:v>1주차  7/10~7/16</x:v>
      </x:c>
      <x:c r="J4" s="100"/>
      <x:c r="K4" s="100"/>
      <x:c r="L4" s="100"/>
      <x:c r="M4" s="100"/>
      <x:c r="N4" s="100" t="str">
        <x:v>2주차  7/17~7/23</x:v>
      </x:c>
      <x:c r="O4" s="100"/>
      <x:c r="P4" s="100"/>
      <x:c r="Q4" s="100"/>
      <x:c r="R4" s="100"/>
      <x:c r="S4" s="100" t="str">
        <x:v>3주차  7/24~7/30</x:v>
      </x:c>
      <x:c r="T4" s="100"/>
      <x:c r="U4" s="100"/>
      <x:c r="V4" s="100"/>
      <x:c r="W4" s="100"/>
      <x:c r="X4" s="100" t="str">
        <x:v>4주차  7/31~8/07</x:v>
      </x:c>
      <x:c r="Y4" s="100"/>
      <x:c r="Z4" s="100"/>
      <x:c r="AA4" s="100"/>
      <x:c r="AB4" s="100"/>
      <x:c r="AC4" s="100"/>
    </x:row>
    <x:row r="5" ht="26" customHeight="1">
      <x:c r="A5" s="106" t="str">
        <x:v>단계</x:v>
      </x:c>
      <x:c r="B5" s="106" t="str">
        <x:v>구분</x:v>
      </x:c>
      <x:c r="C5" s="106" t="str">
        <x:v>세부 작업</x:v>
      </x:c>
      <x:c r="D5" s="106" t="str">
        <x:v>담당자</x:v>
      </x:c>
      <x:c r="E5" s="106" t="str">
        <x:v>시작일</x:v>
      </x:c>
      <x:c r="F5" s="106" t="str">
        <x:v>종료일</x:v>
      </x:c>
      <x:c r="G5" s="106" t="str">
        <x:v>완료율</x:v>
      </x:c>
      <x:c r="H5" s="106" t="str">
        <x:v>상태</x:v>
      </x:c>
      <x:c r="I5" s="145" t="n">
        <x:v>46213</x:v>
      </x:c>
      <x:c r="J5" s="145" t="n">
        <x:v>46216</x:v>
      </x:c>
      <x:c r="K5" s="145" t="n">
        <x:v>46217</x:v>
      </x:c>
      <x:c r="L5" s="145" t="n">
        <x:v>46218</x:v>
      </x:c>
      <x:c r="M5" s="145" t="n">
        <x:v>46219</x:v>
      </x:c>
      <x:c r="N5" s="145" t="n">
        <x:v>46220</x:v>
      </x:c>
      <x:c r="O5" s="145" t="n">
        <x:v>46223</x:v>
      </x:c>
      <x:c r="P5" s="145" t="n">
        <x:v>46224</x:v>
      </x:c>
      <x:c r="Q5" s="145" t="n">
        <x:v>46225</x:v>
      </x:c>
      <x:c r="R5" s="145" t="n">
        <x:v>46226</x:v>
      </x:c>
      <x:c r="S5" s="145" t="n">
        <x:v>46227</x:v>
      </x:c>
      <x:c r="T5" s="145" t="n">
        <x:v>46230</x:v>
      </x:c>
      <x:c r="U5" s="145" t="n">
        <x:v>46231</x:v>
      </x:c>
      <x:c r="V5" s="145" t="n">
        <x:v>46232</x:v>
      </x:c>
      <x:c r="W5" s="145" t="n">
        <x:v>46233</x:v>
      </x:c>
      <x:c r="X5" s="145" t="n">
        <x:v>46234</x:v>
      </x:c>
      <x:c r="Y5" s="145" t="n">
        <x:v>46237</x:v>
      </x:c>
      <x:c r="Z5" s="145" t="n">
        <x:v>46238</x:v>
      </x:c>
      <x:c r="AA5" s="145" t="n">
        <x:v>46239</x:v>
      </x:c>
      <x:c r="AB5" s="145" t="n">
        <x:v>46240</x:v>
      </x:c>
      <x:c r="AC5" s="145" t="n">
        <x:v>46241</x:v>
      </x:c>
    </x:row>
    <x:row r="6" ht="28" customHeight="1">
      <x:c r="A6" s="127" t="str">
        <x:v>개발</x:v>
      </x:c>
      <x:c r="B6" s="128" t="str">
        <x:v>장바구니</x:v>
      </x:c>
      <x:c r="C6" s="136" t="str">
        <x:v>회원별 단일 상품·견적 목록 조회</x:v>
      </x:c>
      <x:c r="D6" s="133" t="str"/>
      <x:c r="E6" s="139" t="n">
        <x:v>46235</x:v>
      </x:c>
      <x:c r="F6" s="139" t="n">
        <x:v>46237</x:v>
      </x:c>
      <x:c r="G6" s="142" t="n">
        <x:v>1</x:v>
      </x:c>
      <x:c r="H6" s="118" t="str">
        <x:f>IF(G6=1,"완료",IF(G6&gt;0,"진행 중","예정"))</x:f>
        <x:v>완료</x:v>
      </x:c>
      <x:c r="I6" s="120" t="str"/>
      <x:c r="J6" s="120" t="str"/>
      <x:c r="K6" s="120" t="str"/>
      <x:c r="L6" s="120" t="str"/>
      <x:c r="M6" s="120" t="str"/>
      <x:c r="N6" s="120" t="str"/>
      <x:c r="O6" s="120" t="str"/>
      <x:c r="P6" s="120" t="str"/>
      <x:c r="Q6" s="120" t="str"/>
      <x:c r="R6" s="120" t="str"/>
      <x:c r="S6" s="120" t="str"/>
      <x:c r="T6" s="120" t="str"/>
      <x:c r="U6" s="120" t="str"/>
      <x:c r="V6" s="120" t="str"/>
      <x:c r="W6" s="120" t="str"/>
      <x:c r="X6" s="120" t="str"/>
      <x:c r="Y6" s="119" t="str"/>
      <x:c r="Z6" s="120" t="str"/>
      <x:c r="AA6" s="120" t="str"/>
      <x:c r="AB6" s="120" t="str"/>
      <x:c r="AC6" s="120" t="str"/>
    </x:row>
    <x:row r="7" ht="28" customHeight="1">
      <x:c r="A7" s="129" t="str">
        <x:v>개발</x:v>
      </x:c>
      <x:c r="B7" s="130" t="str">
        <x:v>장바구니</x:v>
      </x:c>
      <x:c r="C7" s="137" t="str">
        <x:v>전체·개별·견적 그룹 선택 처리</x:v>
      </x:c>
      <x:c r="D7" s="134" t="str"/>
      <x:c r="E7" s="140" t="n">
        <x:v>46237</x:v>
      </x:c>
      <x:c r="F7" s="140" t="n">
        <x:v>46238</x:v>
      </x:c>
      <x:c r="G7" s="143" t="n">
        <x:v>1</x:v>
      </x:c>
      <x:c r="H7" s="123" t="str">
        <x:f>IF(G7=1,"완료",IF(G7&gt;0,"진행 중","예정"))</x:f>
        <x:v>완료</x:v>
      </x:c>
      <x:c r="I7" s="120" t="str"/>
      <x:c r="J7" s="120" t="str"/>
      <x:c r="K7" s="120" t="str"/>
      <x:c r="L7" s="120" t="str"/>
      <x:c r="M7" s="120" t="str"/>
      <x:c r="N7" s="120" t="str"/>
      <x:c r="O7" s="120" t="str"/>
      <x:c r="P7" s="120" t="str"/>
      <x:c r="Q7" s="120" t="str"/>
      <x:c r="R7" s="120" t="str"/>
      <x:c r="S7" s="120" t="str"/>
      <x:c r="T7" s="120" t="str"/>
      <x:c r="U7" s="120" t="str"/>
      <x:c r="V7" s="120" t="str"/>
      <x:c r="W7" s="120" t="str"/>
      <x:c r="X7" s="120" t="str"/>
      <x:c r="Y7" s="119" t="str"/>
      <x:c r="Z7" s="119" t="str"/>
      <x:c r="AA7" s="120" t="str"/>
      <x:c r="AB7" s="120" t="str"/>
      <x:c r="AC7" s="120" t="str"/>
    </x:row>
    <x:row r="8" ht="28" customHeight="1">
      <x:c r="A8" s="129" t="str">
        <x:v>개발</x:v>
      </x:c>
      <x:c r="B8" s="130" t="str">
        <x:v>장바구니</x:v>
      </x:c>
      <x:c r="C8" s="137" t="str">
        <x:v>수량 변경·금액 실시간 계산</x:v>
      </x:c>
      <x:c r="D8" s="134" t="str"/>
      <x:c r="E8" s="140" t="n">
        <x:v>46237</x:v>
      </x:c>
      <x:c r="F8" s="140" t="n">
        <x:v>46239</x:v>
      </x:c>
      <x:c r="G8" s="143" t="n">
        <x:v>1</x:v>
      </x:c>
      <x:c r="H8" s="123" t="str">
        <x:f>IF(G8=1,"완료",IF(G8&gt;0,"진행 중","예정"))</x:f>
        <x:v>완료</x:v>
      </x:c>
      <x:c r="I8" s="120" t="str"/>
      <x:c r="J8" s="120" t="str"/>
      <x:c r="K8" s="120" t="str"/>
      <x:c r="L8" s="120" t="str"/>
      <x:c r="M8" s="120" t="str"/>
      <x:c r="N8" s="120" t="str"/>
      <x:c r="O8" s="120" t="str"/>
      <x:c r="P8" s="120" t="str"/>
      <x:c r="Q8" s="120" t="str"/>
      <x:c r="R8" s="120" t="str"/>
      <x:c r="S8" s="120" t="str"/>
      <x:c r="T8" s="120" t="str"/>
      <x:c r="U8" s="120" t="str"/>
      <x:c r="V8" s="120" t="str"/>
      <x:c r="W8" s="120" t="str"/>
      <x:c r="X8" s="120" t="str"/>
      <x:c r="Y8" s="119" t="str"/>
      <x:c r="Z8" s="119" t="str"/>
      <x:c r="AA8" s="119" t="str"/>
      <x:c r="AB8" s="120" t="str"/>
      <x:c r="AC8" s="120" t="str"/>
    </x:row>
    <x:row r="9" ht="28" customHeight="1">
      <x:c r="A9" s="129" t="str">
        <x:v>개발</x:v>
      </x:c>
      <x:c r="B9" s="130" t="str">
        <x:v>장바구니</x:v>
      </x:c>
      <x:c r="C9" s="137" t="str">
        <x:v>개별 삭제·견적 단위 일괄 삭제</x:v>
      </x:c>
      <x:c r="D9" s="134" t="str"/>
      <x:c r="E9" s="140" t="n">
        <x:v>46238</x:v>
      </x:c>
      <x:c r="F9" s="140" t="n">
        <x:v>46239</x:v>
      </x:c>
      <x:c r="G9" s="143" t="n">
        <x:v>1</x:v>
      </x:c>
      <x:c r="H9" s="123" t="str">
        <x:f>IF(G9=1,"완료",IF(G9&gt;0,"진행 중","예정"))</x:f>
        <x:v>완료</x:v>
      </x:c>
      <x:c r="I9" s="120" t="str"/>
      <x:c r="J9" s="120" t="str"/>
      <x:c r="K9" s="120" t="str"/>
      <x:c r="L9" s="120" t="str"/>
      <x:c r="M9" s="120" t="str"/>
      <x:c r="N9" s="120" t="str"/>
      <x:c r="O9" s="120" t="str"/>
      <x:c r="P9" s="120" t="str"/>
      <x:c r="Q9" s="120" t="str"/>
      <x:c r="R9" s="120" t="str"/>
      <x:c r="S9" s="120" t="str"/>
      <x:c r="T9" s="120" t="str"/>
      <x:c r="U9" s="120" t="str"/>
      <x:c r="V9" s="120" t="str"/>
      <x:c r="W9" s="120" t="str"/>
      <x:c r="X9" s="120" t="str"/>
      <x:c r="Y9" s="120" t="str"/>
      <x:c r="Z9" s="119" t="str"/>
      <x:c r="AA9" s="119" t="str"/>
      <x:c r="AB9" s="120" t="str"/>
      <x:c r="AC9" s="120" t="str"/>
    </x:row>
    <x:row r="10" ht="28" customHeight="1">
      <x:c r="A10" s="129" t="str">
        <x:v>개발</x:v>
      </x:c>
      <x:c r="B10" s="130" t="str">
        <x:v>주문</x:v>
      </x:c>
      <x:c r="C10" s="137" t="str">
        <x:v>선택 항목 검증·주문 페이지 전달</x:v>
      </x:c>
      <x:c r="D10" s="134" t="str"/>
      <x:c r="E10" s="140" t="n">
        <x:v>46238</x:v>
      </x:c>
      <x:c r="F10" s="140" t="n">
        <x:v>46239</x:v>
      </x:c>
      <x:c r="G10" s="143" t="n">
        <x:v>1</x:v>
      </x:c>
      <x:c r="H10" s="123" t="str">
        <x:f>IF(G10=1,"완료",IF(G10&gt;0,"진행 중","예정"))</x:f>
        <x:v>완료</x:v>
      </x:c>
      <x:c r="I10" s="120" t="str"/>
      <x:c r="J10" s="120" t="str"/>
      <x:c r="K10" s="120" t="str"/>
      <x:c r="L10" s="120" t="str"/>
      <x:c r="M10" s="120" t="str"/>
      <x:c r="N10" s="120" t="str"/>
      <x:c r="O10" s="120" t="str"/>
      <x:c r="P10" s="120" t="str"/>
      <x:c r="Q10" s="120" t="str"/>
      <x:c r="R10" s="120" t="str"/>
      <x:c r="S10" s="120" t="str"/>
      <x:c r="T10" s="120" t="str"/>
      <x:c r="U10" s="120" t="str"/>
      <x:c r="V10" s="120" t="str"/>
      <x:c r="W10" s="120" t="str"/>
      <x:c r="X10" s="120" t="str"/>
      <x:c r="Y10" s="120" t="str"/>
      <x:c r="Z10" s="119" t="str"/>
      <x:c r="AA10" s="119" t="str"/>
      <x:c r="AB10" s="120" t="str"/>
      <x:c r="AC10" s="120" t="str"/>
    </x:row>
    <x:row r="11" ht="28" customHeight="1">
      <x:c r="A11" s="129" t="str">
        <x:v>개발</x:v>
      </x:c>
      <x:c r="B11" s="130" t="str">
        <x:v>주문</x:v>
      </x:c>
      <x:c r="C11" s="137" t="str">
        <x:v>배송지·상품·가격 주문 스냅샷 저장</x:v>
      </x:c>
      <x:c r="D11" s="134" t="str"/>
      <x:c r="E11" s="140" t="n">
        <x:v>46239</x:v>
      </x:c>
      <x:c r="F11" s="140" t="n">
        <x:v>46240</x:v>
      </x:c>
      <x:c r="G11" s="143" t="n">
        <x:v>0.9</x:v>
      </x:c>
      <x:c r="H11" s="151" t="str">
        <x:f>IF(G11=1,"완료",IF(G11&gt;0,"진행 중","예정"))</x:f>
        <x:v>진행 중</x:v>
      </x:c>
      <x:c r="I11" s="120" t="str"/>
      <x:c r="J11" s="120" t="str"/>
      <x:c r="K11" s="120" t="str"/>
      <x:c r="L11" s="120" t="str"/>
      <x:c r="M11" s="120" t="str"/>
      <x:c r="N11" s="120" t="str"/>
      <x:c r="O11" s="120" t="str"/>
      <x:c r="P11" s="120" t="str"/>
      <x:c r="Q11" s="120" t="str"/>
      <x:c r="R11" s="120" t="str"/>
      <x:c r="S11" s="120" t="str"/>
      <x:c r="T11" s="120" t="str"/>
      <x:c r="U11" s="120" t="str"/>
      <x:c r="V11" s="120" t="str"/>
      <x:c r="W11" s="120" t="str"/>
      <x:c r="X11" s="120" t="str"/>
      <x:c r="Y11" s="120" t="str"/>
      <x:c r="Z11" s="120" t="str"/>
      <x:c r="AA11" s="152" t="str"/>
      <x:c r="AB11" s="152" t="str"/>
      <x:c r="AC11" s="120" t="str"/>
    </x:row>
    <x:row r="12" ht="28" customHeight="1">
      <x:c r="A12" s="129" t="str">
        <x:v>개발</x:v>
      </x:c>
      <x:c r="B12" s="130" t="str">
        <x:v>결제</x:v>
      </x:c>
      <x:c r="C12" s="137" t="str">
        <x:v>Toss 결제 요청·승인 처리</x:v>
      </x:c>
      <x:c r="D12" s="134" t="str"/>
      <x:c r="E12" s="140" t="n">
        <x:v>46238</x:v>
      </x:c>
      <x:c r="F12" s="140" t="n">
        <x:v>46240</x:v>
      </x:c>
      <x:c r="G12" s="143" t="n">
        <x:v>0.9</x:v>
      </x:c>
      <x:c r="H12" s="151" t="str">
        <x:f>IF(G12=1,"완료",IF(G12&gt;0,"진행 중","예정"))</x:f>
        <x:v>진행 중</x:v>
      </x:c>
      <x:c r="I12" s="120" t="str"/>
      <x:c r="J12" s="120" t="str"/>
      <x:c r="K12" s="120" t="str"/>
      <x:c r="L12" s="120" t="str"/>
      <x:c r="M12" s="120" t="str"/>
      <x:c r="N12" s="120" t="str"/>
      <x:c r="O12" s="120" t="str"/>
      <x:c r="P12" s="120" t="str"/>
      <x:c r="Q12" s="120" t="str"/>
      <x:c r="R12" s="120" t="str"/>
      <x:c r="S12" s="120" t="str"/>
      <x:c r="T12" s="120" t="str"/>
      <x:c r="U12" s="120" t="str"/>
      <x:c r="V12" s="120" t="str"/>
      <x:c r="W12" s="120" t="str"/>
      <x:c r="X12" s="120" t="str"/>
      <x:c r="Y12" s="120" t="str"/>
      <x:c r="Z12" s="152" t="str"/>
      <x:c r="AA12" s="152" t="str"/>
      <x:c r="AB12" s="152" t="str"/>
      <x:c r="AC12" s="120" t="str"/>
    </x:row>
    <x:row r="13" ht="28" customHeight="1">
      <x:c r="A13" s="129" t="str">
        <x:v>개발</x:v>
      </x:c>
      <x:c r="B13" s="130" t="str">
        <x:v>결제</x:v>
      </x:c>
      <x:c r="C13" s="137" t="str">
        <x:v>결제 실패·중복 결제 예외 처리</x:v>
      </x:c>
      <x:c r="D13" s="134" t="str"/>
      <x:c r="E13" s="140" t="n">
        <x:v>46239</x:v>
      </x:c>
      <x:c r="F13" s="140" t="n">
        <x:v>46241</x:v>
      </x:c>
      <x:c r="G13" s="143" t="n">
        <x:v>0.85</x:v>
      </x:c>
      <x:c r="H13" s="151" t="str">
        <x:f>IF(G13=1,"완료",IF(G13&gt;0,"진행 중","예정"))</x:f>
        <x:v>진행 중</x:v>
      </x:c>
      <x:c r="I13" s="120" t="str"/>
      <x:c r="J13" s="120" t="str"/>
      <x:c r="K13" s="120" t="str"/>
      <x:c r="L13" s="120" t="str"/>
      <x:c r="M13" s="120" t="str"/>
      <x:c r="N13" s="120" t="str"/>
      <x:c r="O13" s="120" t="str"/>
      <x:c r="P13" s="120" t="str"/>
      <x:c r="Q13" s="120" t="str"/>
      <x:c r="R13" s="120" t="str"/>
      <x:c r="S13" s="120" t="str"/>
      <x:c r="T13" s="120" t="str"/>
      <x:c r="U13" s="120" t="str"/>
      <x:c r="V13" s="120" t="str"/>
      <x:c r="W13" s="120" t="str"/>
      <x:c r="X13" s="120" t="str"/>
      <x:c r="Y13" s="120" t="str"/>
      <x:c r="Z13" s="120" t="str"/>
      <x:c r="AA13" s="152" t="str"/>
      <x:c r="AB13" s="152" t="str"/>
      <x:c r="AC13" s="152" t="str"/>
    </x:row>
    <x:row r="14" ht="28" customHeight="1">
      <x:c r="A14" s="129" t="str">
        <x:v>개발</x:v>
      </x:c>
      <x:c r="B14" s="130" t="str">
        <x:v>주문</x:v>
      </x:c>
      <x:c r="C14" s="137" t="str">
        <x:v>결제 완료 후 선택 장바구니 비우기</x:v>
      </x:c>
      <x:c r="D14" s="134" t="str"/>
      <x:c r="E14" s="140" t="n">
        <x:v>46240</x:v>
      </x:c>
      <x:c r="F14" s="140" t="n">
        <x:v>46241</x:v>
      </x:c>
      <x:c r="G14" s="143" t="n">
        <x:v>0.9</x:v>
      </x:c>
      <x:c r="H14" s="151" t="str">
        <x:f>IF(G14=1,"완료",IF(G14&gt;0,"진행 중","예정"))</x:f>
        <x:v>진행 중</x:v>
      </x:c>
      <x:c r="I14" s="120" t="str"/>
      <x:c r="J14" s="120" t="str"/>
      <x:c r="K14" s="120" t="str"/>
      <x:c r="L14" s="120" t="str"/>
      <x:c r="M14" s="120" t="str"/>
      <x:c r="N14" s="120" t="str"/>
      <x:c r="O14" s="120" t="str"/>
      <x:c r="P14" s="120" t="str"/>
      <x:c r="Q14" s="120" t="str"/>
      <x:c r="R14" s="120" t="str"/>
      <x:c r="S14" s="120" t="str"/>
      <x:c r="T14" s="120" t="str"/>
      <x:c r="U14" s="120" t="str"/>
      <x:c r="V14" s="120" t="str"/>
      <x:c r="W14" s="120" t="str"/>
      <x:c r="X14" s="120" t="str"/>
      <x:c r="Y14" s="120" t="str"/>
      <x:c r="Z14" s="120" t="str"/>
      <x:c r="AA14" s="120" t="str"/>
      <x:c r="AB14" s="152" t="str"/>
      <x:c r="AC14" s="152" t="str"/>
    </x:row>
    <x:row r="15" ht="28" customHeight="1">
      <x:c r="A15" s="129" t="str">
        <x:v>개발</x:v>
      </x:c>
      <x:c r="B15" s="130" t="str">
        <x:v>주문</x:v>
      </x:c>
      <x:c r="C15" s="137" t="str">
        <x:v>마이페이지 주문 내역 조회</x:v>
      </x:c>
      <x:c r="D15" s="134" t="str"/>
      <x:c r="E15" s="140" t="n">
        <x:v>46240</x:v>
      </x:c>
      <x:c r="F15" s="140" t="n">
        <x:v>46241</x:v>
      </x:c>
      <x:c r="G15" s="143" t="n">
        <x:v>1</x:v>
      </x:c>
      <x:c r="H15" s="123" t="str">
        <x:f>IF(G15=1,"완료",IF(G15&gt;0,"진행 중","예정"))</x:f>
        <x:v>완료</x:v>
      </x:c>
      <x:c r="I15" s="120" t="str"/>
      <x:c r="J15" s="120" t="str"/>
      <x:c r="K15" s="120" t="str"/>
      <x:c r="L15" s="120" t="str"/>
      <x:c r="M15" s="120" t="str"/>
      <x:c r="N15" s="120" t="str"/>
      <x:c r="O15" s="120" t="str"/>
      <x:c r="P15" s="120" t="str"/>
      <x:c r="Q15" s="120" t="str"/>
      <x:c r="R15" s="120" t="str"/>
      <x:c r="S15" s="120" t="str"/>
      <x:c r="T15" s="120" t="str"/>
      <x:c r="U15" s="120" t="str"/>
      <x:c r="V15" s="120" t="str"/>
      <x:c r="W15" s="120" t="str"/>
      <x:c r="X15" s="120" t="str"/>
      <x:c r="Y15" s="120" t="str"/>
      <x:c r="Z15" s="120" t="str"/>
      <x:c r="AA15" s="120" t="str"/>
      <x:c r="AB15" s="119" t="str"/>
      <x:c r="AC15" s="119" t="str"/>
    </x:row>
    <x:row r="16" ht="28" customHeight="1">
      <x:c r="A16" s="129" t="str">
        <x:v>테스트</x:v>
      </x:c>
      <x:c r="B16" s="130" t="str">
        <x:v>구매 흐름</x:v>
      </x:c>
      <x:c r="C16" s="137" t="str">
        <x:v>장바구니→주문→결제 통합 테스트</x:v>
      </x:c>
      <x:c r="D16" s="134" t="str"/>
      <x:c r="E16" s="140" t="n">
        <x:v>46240</x:v>
      </x:c>
      <x:c r="F16" s="140" t="n">
        <x:v>46241</x:v>
      </x:c>
      <x:c r="G16" s="143" t="n">
        <x:v>0.75</x:v>
      </x:c>
      <x:c r="H16" s="151" t="str">
        <x:f>IF(G16=1,"완료",IF(G16&gt;0,"진행 중","예정"))</x:f>
        <x:v>진행 중</x:v>
      </x:c>
      <x:c r="I16" s="120" t="str"/>
      <x:c r="J16" s="120" t="str"/>
      <x:c r="K16" s="120" t="str"/>
      <x:c r="L16" s="120" t="str"/>
      <x:c r="M16" s="120" t="str"/>
      <x:c r="N16" s="120" t="str"/>
      <x:c r="O16" s="120" t="str"/>
      <x:c r="P16" s="120" t="str"/>
      <x:c r="Q16" s="120" t="str"/>
      <x:c r="R16" s="120" t="str"/>
      <x:c r="S16" s="120" t="str"/>
      <x:c r="T16" s="120" t="str"/>
      <x:c r="U16" s="120" t="str"/>
      <x:c r="V16" s="120" t="str"/>
      <x:c r="W16" s="120" t="str"/>
      <x:c r="X16" s="120" t="str"/>
      <x:c r="Y16" s="120" t="str"/>
      <x:c r="Z16" s="120" t="str"/>
      <x:c r="AA16" s="120" t="str"/>
      <x:c r="AB16" s="152" t="str"/>
      <x:c r="AC16" s="152" t="str"/>
    </x:row>
    <x:row r="17" ht="28" customHeight="1">
      <x:c r="A17" s="129" t="str">
        <x:v>개발</x:v>
      </x:c>
      <x:c r="B17" s="130" t="str">
        <x:v>Entity</x:v>
      </x:c>
      <x:c r="C17" s="137" t="str">
        <x:v>장바구니·장바구니 항목 관계 매핑</x:v>
      </x:c>
      <x:c r="D17" s="134" t="str"/>
      <x:c r="E17" s="140" t="n">
        <x:v>46235</x:v>
      </x:c>
      <x:c r="F17" s="140" t="n">
        <x:v>46237</x:v>
      </x:c>
      <x:c r="G17" s="143" t="n">
        <x:v>1</x:v>
      </x:c>
      <x:c r="H17" s="123" t="str">
        <x:f>IF(G17=1,"완료",IF(G17&gt;0,"진행 중","예정"))</x:f>
        <x:v>완료</x:v>
      </x:c>
      <x:c r="I17" s="120" t="str"/>
      <x:c r="J17" s="120" t="str"/>
      <x:c r="K17" s="120" t="str"/>
      <x:c r="L17" s="120" t="str"/>
      <x:c r="M17" s="120" t="str"/>
      <x:c r="N17" s="120" t="str"/>
      <x:c r="O17" s="120" t="str"/>
      <x:c r="P17" s="120" t="str"/>
      <x:c r="Q17" s="120" t="str"/>
      <x:c r="R17" s="120" t="str"/>
      <x:c r="S17" s="120" t="str"/>
      <x:c r="T17" s="120" t="str"/>
      <x:c r="U17" s="120" t="str"/>
      <x:c r="V17" s="120" t="str"/>
      <x:c r="W17" s="120" t="str"/>
      <x:c r="X17" s="120" t="str"/>
      <x:c r="Y17" s="119" t="str"/>
      <x:c r="Z17" s="120" t="str"/>
      <x:c r="AA17" s="120" t="str"/>
      <x:c r="AB17" s="120" t="str"/>
      <x:c r="AC17" s="120" t="str"/>
    </x:row>
    <x:row r="18" ht="28" customHeight="1">
      <x:c r="A18" s="129" t="str">
        <x:v>개발</x:v>
      </x:c>
      <x:c r="B18" s="130" t="str">
        <x:v>Controller</x:v>
      </x:c>
      <x:c r="C18" s="137" t="str">
        <x:v>목록 조회·수량 변경·삭제 API 처리</x:v>
      </x:c>
      <x:c r="D18" s="134" t="str"/>
      <x:c r="E18" s="140" t="n">
        <x:v>46237</x:v>
      </x:c>
      <x:c r="F18" s="140" t="n">
        <x:v>46239</x:v>
      </x:c>
      <x:c r="G18" s="143" t="n">
        <x:v>1</x:v>
      </x:c>
      <x:c r="H18" s="123" t="str">
        <x:f>IF(G18=1,"완료",IF(G18&gt;0,"진행 중","예정"))</x:f>
        <x:v>완료</x:v>
      </x:c>
      <x:c r="I18" s="120" t="str"/>
      <x:c r="J18" s="120" t="str"/>
      <x:c r="K18" s="120" t="str"/>
      <x:c r="L18" s="120" t="str"/>
      <x:c r="M18" s="120" t="str"/>
      <x:c r="N18" s="120" t="str"/>
      <x:c r="O18" s="120" t="str"/>
      <x:c r="P18" s="120" t="str"/>
      <x:c r="Q18" s="120" t="str"/>
      <x:c r="R18" s="120" t="str"/>
      <x:c r="S18" s="120" t="str"/>
      <x:c r="T18" s="120" t="str"/>
      <x:c r="U18" s="120" t="str"/>
      <x:c r="V18" s="120" t="str"/>
      <x:c r="W18" s="120" t="str"/>
      <x:c r="X18" s="120" t="str"/>
      <x:c r="Y18" s="119" t="str"/>
      <x:c r="Z18" s="119" t="str"/>
      <x:c r="AA18" s="119" t="str"/>
      <x:c r="AB18" s="120" t="str"/>
      <x:c r="AC18" s="120" t="str"/>
    </x:row>
    <x:row r="19" ht="28" customHeight="1">
      <x:c r="A19" s="129" t="str">
        <x:v>개발</x:v>
      </x:c>
      <x:c r="B19" s="130" t="str">
        <x:v>Service</x:v>
      </x:c>
      <x:c r="C19" s="137" t="str">
        <x:v>단일 상품과 견적 항목 그룹화</x:v>
      </x:c>
      <x:c r="D19" s="134" t="str"/>
      <x:c r="E19" s="140" t="n">
        <x:v>46237</x:v>
      </x:c>
      <x:c r="F19" s="140" t="n">
        <x:v>46239</x:v>
      </x:c>
      <x:c r="G19" s="143" t="n">
        <x:v>1</x:v>
      </x:c>
      <x:c r="H19" s="123" t="str">
        <x:f>IF(G19=1,"완료",IF(G19&gt;0,"진행 중","예정"))</x:f>
        <x:v>완료</x:v>
      </x:c>
      <x:c r="I19" s="120" t="str"/>
      <x:c r="J19" s="120" t="str"/>
      <x:c r="K19" s="120" t="str"/>
      <x:c r="L19" s="120" t="str"/>
      <x:c r="M19" s="120" t="str"/>
      <x:c r="N19" s="120" t="str"/>
      <x:c r="O19" s="120" t="str"/>
      <x:c r="P19" s="120" t="str"/>
      <x:c r="Q19" s="120" t="str"/>
      <x:c r="R19" s="120" t="str"/>
      <x:c r="S19" s="120" t="str"/>
      <x:c r="T19" s="120" t="str"/>
      <x:c r="U19" s="120" t="str"/>
      <x:c r="V19" s="120" t="str"/>
      <x:c r="W19" s="120" t="str"/>
      <x:c r="X19" s="120" t="str"/>
      <x:c r="Y19" s="119" t="str"/>
      <x:c r="Z19" s="119" t="str"/>
      <x:c r="AA19" s="119" t="str"/>
      <x:c r="AB19" s="120" t="str"/>
      <x:c r="AC19" s="120" t="str"/>
    </x:row>
    <x:row r="20" ht="28" customHeight="1">
      <x:c r="A20" s="129" t="str">
        <x:v>개발</x:v>
      </x:c>
      <x:c r="B20" s="130" t="str">
        <x:v>Repository</x:v>
      </x:c>
      <x:c r="C20" s="137" t="str">
        <x:v>회원별 장바구니와 상품 정보 조회</x:v>
      </x:c>
      <x:c r="D20" s="134" t="str"/>
      <x:c r="E20" s="140" t="n">
        <x:v>46237</x:v>
      </x:c>
      <x:c r="F20" s="140" t="n">
        <x:v>46239</x:v>
      </x:c>
      <x:c r="G20" s="143" t="n">
        <x:v>1</x:v>
      </x:c>
      <x:c r="H20" s="123" t="str">
        <x:f>IF(G20=1,"완료",IF(G20&gt;0,"진행 중","예정"))</x:f>
        <x:v>완료</x:v>
      </x:c>
      <x:c r="I20" s="120" t="str"/>
      <x:c r="J20" s="120" t="str"/>
      <x:c r="K20" s="120" t="str"/>
      <x:c r="L20" s="120" t="str"/>
      <x:c r="M20" s="120" t="str"/>
      <x:c r="N20" s="120" t="str"/>
      <x:c r="O20" s="120" t="str"/>
      <x:c r="P20" s="120" t="str"/>
      <x:c r="Q20" s="120" t="str"/>
      <x:c r="R20" s="120" t="str"/>
      <x:c r="S20" s="120" t="str"/>
      <x:c r="T20" s="120" t="str"/>
      <x:c r="U20" s="120" t="str"/>
      <x:c r="V20" s="120" t="str"/>
      <x:c r="W20" s="120" t="str"/>
      <x:c r="X20" s="120" t="str"/>
      <x:c r="Y20" s="119" t="str"/>
      <x:c r="Z20" s="119" t="str"/>
      <x:c r="AA20" s="119" t="str"/>
      <x:c r="AB20" s="120" t="str"/>
      <x:c r="AC20" s="120" t="str"/>
    </x:row>
    <x:row r="21" ht="28" customHeight="1">
      <x:c r="A21" s="129" t="str">
        <x:v>개발</x:v>
      </x:c>
      <x:c r="B21" s="130" t="str">
        <x:v>주문 DTO</x:v>
      </x:c>
      <x:c r="C21" s="137" t="str">
        <x:v>선택 상품·견적·수량·가격 요청 데이터 구성</x:v>
      </x:c>
      <x:c r="D21" s="134" t="str"/>
      <x:c r="E21" s="140" t="n">
        <x:v>46238</x:v>
      </x:c>
      <x:c r="F21" s="140" t="n">
        <x:v>46239</x:v>
      </x:c>
      <x:c r="G21" s="143" t="n">
        <x:v>1</x:v>
      </x:c>
      <x:c r="H21" s="123" t="str">
        <x:f>IF(G21=1,"완료",IF(G21&gt;0,"진행 중","예정"))</x:f>
        <x:v>완료</x:v>
      </x:c>
      <x:c r="I21" s="120" t="str"/>
      <x:c r="J21" s="120" t="str"/>
      <x:c r="K21" s="120" t="str"/>
      <x:c r="L21" s="120" t="str"/>
      <x:c r="M21" s="120" t="str"/>
      <x:c r="N21" s="120" t="str"/>
      <x:c r="O21" s="120" t="str"/>
      <x:c r="P21" s="120" t="str"/>
      <x:c r="Q21" s="120" t="str"/>
      <x:c r="R21" s="120" t="str"/>
      <x:c r="S21" s="120" t="str"/>
      <x:c r="T21" s="120" t="str"/>
      <x:c r="U21" s="120" t="str"/>
      <x:c r="V21" s="120" t="str"/>
      <x:c r="W21" s="120" t="str"/>
      <x:c r="X21" s="120" t="str"/>
      <x:c r="Y21" s="120" t="str"/>
      <x:c r="Z21" s="119" t="str"/>
      <x:c r="AA21" s="119" t="str"/>
      <x:c r="AB21" s="120" t="str"/>
      <x:c r="AC21" s="120" t="str"/>
    </x:row>
    <x:row r="22" ht="28" customHeight="1">
      <x:c r="A22" s="129" t="str">
        <x:v>개발</x:v>
      </x:c>
      <x:c r="B22" s="130" t="str">
        <x:v>Order Service</x:v>
      </x:c>
      <x:c r="C22" s="137" t="str">
        <x:v>주문·주문 상품·배송지 스냅샷 저장</x:v>
      </x:c>
      <x:c r="D22" s="134" t="str"/>
      <x:c r="E22" s="140" t="n">
        <x:v>46239</x:v>
      </x:c>
      <x:c r="F22" s="140" t="n">
        <x:v>46240</x:v>
      </x:c>
      <x:c r="G22" s="143" t="n">
        <x:v>0.9</x:v>
      </x:c>
      <x:c r="H22" s="151" t="str">
        <x:f>IF(G22=1,"완료",IF(G22&gt;0,"진행 중","예정"))</x:f>
        <x:v>진행 중</x:v>
      </x:c>
      <x:c r="I22" s="120" t="str"/>
      <x:c r="J22" s="120" t="str"/>
      <x:c r="K22" s="120" t="str"/>
      <x:c r="L22" s="120" t="str"/>
      <x:c r="M22" s="120" t="str"/>
      <x:c r="N22" s="120" t="str"/>
      <x:c r="O22" s="120" t="str"/>
      <x:c r="P22" s="120" t="str"/>
      <x:c r="Q22" s="120" t="str"/>
      <x:c r="R22" s="120" t="str"/>
      <x:c r="S22" s="120" t="str"/>
      <x:c r="T22" s="120" t="str"/>
      <x:c r="U22" s="120" t="str"/>
      <x:c r="V22" s="120" t="str"/>
      <x:c r="W22" s="120" t="str"/>
      <x:c r="X22" s="120" t="str"/>
      <x:c r="Y22" s="120" t="str"/>
      <x:c r="Z22" s="120" t="str"/>
      <x:c r="AA22" s="152" t="str"/>
      <x:c r="AB22" s="152" t="str"/>
      <x:c r="AC22" s="120" t="str"/>
    </x:row>
    <x:row r="23" ht="28" customHeight="1">
      <x:c r="A23" s="129" t="str">
        <x:v>개발</x:v>
      </x:c>
      <x:c r="B23" s="130" t="str">
        <x:v>Toss API</x:v>
      </x:c>
      <x:c r="C23" s="137" t="str">
        <x:v>결제 키·주문번호·금액 승인 요청</x:v>
      </x:c>
      <x:c r="D23" s="134" t="str"/>
      <x:c r="E23" s="140" t="n">
        <x:v>46238</x:v>
      </x:c>
      <x:c r="F23" s="140" t="n">
        <x:v>46240</x:v>
      </x:c>
      <x:c r="G23" s="143" t="n">
        <x:v>0.9</x:v>
      </x:c>
      <x:c r="H23" s="151" t="str">
        <x:f>IF(G23=1,"완료",IF(G23&gt;0,"진행 중","예정"))</x:f>
        <x:v>진행 중</x:v>
      </x:c>
      <x:c r="I23" s="120" t="str"/>
      <x:c r="J23" s="120" t="str"/>
      <x:c r="K23" s="120" t="str"/>
      <x:c r="L23" s="120" t="str"/>
      <x:c r="M23" s="120" t="str"/>
      <x:c r="N23" s="120" t="str"/>
      <x:c r="O23" s="120" t="str"/>
      <x:c r="P23" s="120" t="str"/>
      <x:c r="Q23" s="120" t="str"/>
      <x:c r="R23" s="120" t="str"/>
      <x:c r="S23" s="120" t="str"/>
      <x:c r="T23" s="120" t="str"/>
      <x:c r="U23" s="120" t="str"/>
      <x:c r="V23" s="120" t="str"/>
      <x:c r="W23" s="120" t="str"/>
      <x:c r="X23" s="120" t="str"/>
      <x:c r="Y23" s="120" t="str"/>
      <x:c r="Z23" s="152" t="str"/>
      <x:c r="AA23" s="152" t="str"/>
      <x:c r="AB23" s="152" t="str"/>
      <x:c r="AC23" s="120" t="str"/>
    </x:row>
    <x:row r="24" ht="28" customHeight="1">
      <x:c r="A24" s="129" t="str">
        <x:v>개발</x:v>
      </x:c>
      <x:c r="B24" s="130" t="str">
        <x:v>결제 검증</x:v>
      </x:c>
      <x:c r="C24" s="137" t="str">
        <x:v>요청 금액과 저장 주문 금액 일치 확인</x:v>
      </x:c>
      <x:c r="D24" s="134" t="str"/>
      <x:c r="E24" s="140" t="n">
        <x:v>46239</x:v>
      </x:c>
      <x:c r="F24" s="140" t="n">
        <x:v>46241</x:v>
      </x:c>
      <x:c r="G24" s="143" t="n">
        <x:v>0.85</x:v>
      </x:c>
      <x:c r="H24" s="151" t="str">
        <x:f>IF(G24=1,"완료",IF(G24&gt;0,"진행 중","예정"))</x:f>
        <x:v>진행 중</x:v>
      </x:c>
      <x:c r="I24" s="120" t="str"/>
      <x:c r="J24" s="120" t="str"/>
      <x:c r="K24" s="120" t="str"/>
      <x:c r="L24" s="120" t="str"/>
      <x:c r="M24" s="120" t="str"/>
      <x:c r="N24" s="120" t="str"/>
      <x:c r="O24" s="120" t="str"/>
      <x:c r="P24" s="120" t="str"/>
      <x:c r="Q24" s="120" t="str"/>
      <x:c r="R24" s="120" t="str"/>
      <x:c r="S24" s="120" t="str"/>
      <x:c r="T24" s="120" t="str"/>
      <x:c r="U24" s="120" t="str"/>
      <x:c r="V24" s="120" t="str"/>
      <x:c r="W24" s="120" t="str"/>
      <x:c r="X24" s="120" t="str"/>
      <x:c r="Y24" s="120" t="str"/>
      <x:c r="Z24" s="120" t="str"/>
      <x:c r="AA24" s="152" t="str"/>
      <x:c r="AB24" s="152" t="str"/>
      <x:c r="AC24" s="152" t="str"/>
    </x:row>
    <x:row r="25" ht="28" customHeight="1">
      <x:c r="A25" s="131" t="str">
        <x:v>개발</x:v>
      </x:c>
      <x:c r="B25" s="132" t="str">
        <x:v>후처리</x:v>
      </x:c>
      <x:c r="C25" s="138" t="str">
        <x:v>결제 성공 상태 저장·선택 항목 제거</x:v>
      </x:c>
      <x:c r="D25" s="135" t="str"/>
      <x:c r="E25" s="141" t="n">
        <x:v>46240</x:v>
      </x:c>
      <x:c r="F25" s="141" t="n">
        <x:v>46241</x:v>
      </x:c>
      <x:c r="G25" s="144" t="n">
        <x:v>0.9</x:v>
      </x:c>
      <x:c r="H25" s="153" t="str">
        <x:f>IF(G25=1,"완료",IF(G25&gt;0,"진행 중","예정"))</x:f>
        <x:v>진행 중</x:v>
      </x:c>
      <x:c r="I25" s="120" t="str"/>
      <x:c r="J25" s="120" t="str"/>
      <x:c r="K25" s="120" t="str"/>
      <x:c r="L25" s="120" t="str"/>
      <x:c r="M25" s="120" t="str"/>
      <x:c r="N25" s="120" t="str"/>
      <x:c r="O25" s="120" t="str"/>
      <x:c r="P25" s="120" t="str"/>
      <x:c r="Q25" s="120" t="str"/>
      <x:c r="R25" s="120" t="str"/>
      <x:c r="S25" s="120" t="str"/>
      <x:c r="T25" s="120" t="str"/>
      <x:c r="U25" s="120" t="str"/>
      <x:c r="V25" s="120" t="str"/>
      <x:c r="W25" s="120" t="str"/>
      <x:c r="X25" s="120" t="str"/>
      <x:c r="Y25" s="120" t="str"/>
      <x:c r="Z25" s="120" t="str"/>
      <x:c r="AA25" s="120" t="str"/>
      <x:c r="AB25" s="152" t="str"/>
      <x:c r="AC25" s="152" t="str"/>
    </x:row>
  </x:sheetData>
  <x:mergeCells>
    <x:mergeCell ref="A1:AC1"/>
    <x:mergeCell ref="A2:AC2"/>
    <x:mergeCell ref="A4:H4"/>
    <x:mergeCell ref="I4:M4"/>
    <x:mergeCell ref="N4:R4"/>
    <x:mergeCell ref="S4:W4"/>
    <x:mergeCell ref="X4:AC4"/>
  </x:mergeCells>
  <x:dataValidations count="1">
    <x:dataValidation type="list" sqref="D6:D25">
      <x:formula1>"공동,팀장,팀원"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42" hidden="0" customWidth="1"/>
    <x:col min="4" max="4" width="10" hidden="0" customWidth="1"/>
    <x:col min="5" max="5" width="12" hidden="0" customWidth="1"/>
    <x:col min="6" max="6" width="12" hidden="0" customWidth="1"/>
    <x:col min="7" max="7" width="9" hidden="0" customWidth="1"/>
    <x:col min="8" max="8" width="11" hidden="0" customWidth="1"/>
    <x:col min="9" max="9" width="5" hidden="0" customWidth="1"/>
    <x:col min="10" max="10" width="5" hidden="0" customWidth="1"/>
    <x:col min="11" max="11" width="5" hidden="0" customWidth="1"/>
    <x:col min="12" max="12" width="5" hidden="0" customWidth="1"/>
    <x:col min="13" max="13" width="5" hidden="0" customWidth="1"/>
    <x:col min="14" max="14" width="5" hidden="0" customWidth="1"/>
    <x:col min="15" max="15" width="5" hidden="0" customWidth="1"/>
    <x:col min="16" max="16" width="5" hidden="0" customWidth="1"/>
    <x:col min="17" max="17" width="5" hidden="0" customWidth="1"/>
    <x:col min="18" max="18" width="5" hidden="0" customWidth="1"/>
    <x:col min="19" max="19" width="5" hidden="0" customWidth="1"/>
    <x:col min="20" max="20" width="5" hidden="0" customWidth="1"/>
    <x:col min="21" max="21" width="5" hidden="0" customWidth="1"/>
    <x:col min="22" max="22" width="5" hidden="0" customWidth="1"/>
    <x:col min="23" max="23" width="5" hidden="0" customWidth="1"/>
    <x:col min="24" max="24" width="5" hidden="0" customWidth="1"/>
    <x:col min="25" max="25" width="5" hidden="0" customWidth="1"/>
    <x:col min="26" max="26" width="5" hidden="0" customWidth="1"/>
    <x:col min="27" max="27" width="5" hidden="0" customWidth="1"/>
    <x:col min="28" max="28" width="5" hidden="0" customWidth="1"/>
    <x:col min="29" max="29" width="5" hidden="0" customWidth="1"/>
  </x:cols>
  <x:sheetData>
    <x:row r="1" ht="30" customHeight="1">
      <x:c r="A1" s="92" t="str">
        <x:v>COMPICK WBS | 관리자·테스트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92"/>
      <x:c r="P1" s="92"/>
      <x:c r="Q1" s="92"/>
      <x:c r="R1" s="92"/>
      <x:c r="S1" s="92"/>
      <x:c r="T1" s="92"/>
      <x:c r="U1" s="92"/>
      <x:c r="V1" s="92"/>
      <x:c r="W1" s="92"/>
      <x:c r="X1" s="92"/>
      <x:c r="Y1" s="92"/>
      <x:c r="Z1" s="92"/>
      <x:c r="AA1" s="92"/>
      <x:c r="AB1" s="92"/>
      <x:c r="AC1" s="92"/>
    </x:row>
    <x:row r="2" ht="22" customHeight="1">
      <x:c r="A2" s="95" t="str">
        <x:v>기준 기간 2026-07-10 ~ 2026-08-07  ·  녹색=완료 / 주황=진행 중 / 회색=예정</x:v>
      </x:c>
      <x:c r="B2" s="95"/>
      <x:c r="C2" s="95"/>
      <x:c r="D2" s="95"/>
      <x:c r="E2" s="95"/>
      <x:c r="F2" s="95"/>
      <x:c r="G2" s="95"/>
      <x:c r="H2" s="95"/>
      <x:c r="I2" s="95"/>
      <x:c r="J2" s="95"/>
      <x:c r="K2" s="95"/>
      <x:c r="L2" s="95"/>
      <x:c r="M2" s="95"/>
      <x:c r="N2" s="95"/>
      <x:c r="O2" s="95"/>
      <x:c r="P2" s="95"/>
      <x:c r="Q2" s="95"/>
      <x:c r="R2" s="95"/>
      <x:c r="S2" s="95"/>
      <x:c r="T2" s="95"/>
      <x:c r="U2" s="95"/>
      <x:c r="V2" s="95"/>
      <x:c r="W2" s="95"/>
      <x:c r="X2" s="95"/>
      <x:c r="Y2" s="95"/>
      <x:c r="Z2" s="95"/>
      <x:c r="AA2" s="95"/>
      <x:c r="AB2" s="95"/>
      <x:c r="AC2" s="95"/>
    </x:row>
    <x:row r="4" ht="26" customHeight="1">
      <x:c r="A4" s="100" t="str">
        <x:v>업무 정보</x:v>
      </x:c>
      <x:c r="B4" s="100"/>
      <x:c r="C4" s="100"/>
      <x:c r="D4" s="100"/>
      <x:c r="E4" s="100"/>
      <x:c r="F4" s="100"/>
      <x:c r="G4" s="100"/>
      <x:c r="H4" s="100"/>
      <x:c r="I4" s="100" t="str">
        <x:v>1주차  7/10~7/16</x:v>
      </x:c>
      <x:c r="J4" s="100"/>
      <x:c r="K4" s="100"/>
      <x:c r="L4" s="100"/>
      <x:c r="M4" s="100"/>
      <x:c r="N4" s="100" t="str">
        <x:v>2주차  7/17~7/23</x:v>
      </x:c>
      <x:c r="O4" s="100"/>
      <x:c r="P4" s="100"/>
      <x:c r="Q4" s="100"/>
      <x:c r="R4" s="100"/>
      <x:c r="S4" s="100" t="str">
        <x:v>3주차  7/24~7/30</x:v>
      </x:c>
      <x:c r="T4" s="100"/>
      <x:c r="U4" s="100"/>
      <x:c r="V4" s="100"/>
      <x:c r="W4" s="100"/>
      <x:c r="X4" s="100" t="str">
        <x:v>4주차  7/31~8/07</x:v>
      </x:c>
      <x:c r="Y4" s="100"/>
      <x:c r="Z4" s="100"/>
      <x:c r="AA4" s="100"/>
      <x:c r="AB4" s="100"/>
      <x:c r="AC4" s="100"/>
    </x:row>
    <x:row r="5" ht="26" customHeight="1">
      <x:c r="A5" s="106" t="str">
        <x:v>단계</x:v>
      </x:c>
      <x:c r="B5" s="106" t="str">
        <x:v>구분</x:v>
      </x:c>
      <x:c r="C5" s="106" t="str">
        <x:v>세부 작업</x:v>
      </x:c>
      <x:c r="D5" s="106" t="str">
        <x:v>담당자</x:v>
      </x:c>
      <x:c r="E5" s="106" t="str">
        <x:v>시작일</x:v>
      </x:c>
      <x:c r="F5" s="106" t="str">
        <x:v>종료일</x:v>
      </x:c>
      <x:c r="G5" s="106" t="str">
        <x:v>완료율</x:v>
      </x:c>
      <x:c r="H5" s="106" t="str">
        <x:v>상태</x:v>
      </x:c>
      <x:c r="I5" s="145" t="n">
        <x:v>46213</x:v>
      </x:c>
      <x:c r="J5" s="145" t="n">
        <x:v>46216</x:v>
      </x:c>
      <x:c r="K5" s="145" t="n">
        <x:v>46217</x:v>
      </x:c>
      <x:c r="L5" s="145" t="n">
        <x:v>46218</x:v>
      </x:c>
      <x:c r="M5" s="145" t="n">
        <x:v>46219</x:v>
      </x:c>
      <x:c r="N5" s="145" t="n">
        <x:v>46220</x:v>
      </x:c>
      <x:c r="O5" s="145" t="n">
        <x:v>46223</x:v>
      </x:c>
      <x:c r="P5" s="145" t="n">
        <x:v>46224</x:v>
      </x:c>
      <x:c r="Q5" s="145" t="n">
        <x:v>46225</x:v>
      </x:c>
      <x:c r="R5" s="145" t="n">
        <x:v>46226</x:v>
      </x:c>
      <x:c r="S5" s="145" t="n">
        <x:v>46227</x:v>
      </x:c>
      <x:c r="T5" s="145" t="n">
        <x:v>46230</x:v>
      </x:c>
      <x:c r="U5" s="145" t="n">
        <x:v>46231</x:v>
      </x:c>
      <x:c r="V5" s="145" t="n">
        <x:v>46232</x:v>
      </x:c>
      <x:c r="W5" s="145" t="n">
        <x:v>46233</x:v>
      </x:c>
      <x:c r="X5" s="145" t="n">
        <x:v>46234</x:v>
      </x:c>
      <x:c r="Y5" s="145" t="n">
        <x:v>46237</x:v>
      </x:c>
      <x:c r="Z5" s="145" t="n">
        <x:v>46238</x:v>
      </x:c>
      <x:c r="AA5" s="145" t="n">
        <x:v>46239</x:v>
      </x:c>
      <x:c r="AB5" s="145" t="n">
        <x:v>46240</x:v>
      </x:c>
      <x:c r="AC5" s="145" t="n">
        <x:v>46241</x:v>
      </x:c>
    </x:row>
    <x:row r="6" ht="28" customHeight="1">
      <x:c r="A6" s="127" t="str">
        <x:v>개발</x:v>
      </x:c>
      <x:c r="B6" s="128" t="str">
        <x:v>관리자</x:v>
      </x:c>
      <x:c r="C6" s="136" t="str">
        <x:v>관리자 권한·메뉴 접근 제어</x:v>
      </x:c>
      <x:c r="D6" s="133" t="str"/>
      <x:c r="E6" s="139" t="n">
        <x:v>46238</x:v>
      </x:c>
      <x:c r="F6" s="139" t="n">
        <x:v>46239</x:v>
      </x:c>
      <x:c r="G6" s="142" t="n">
        <x:v>1</x:v>
      </x:c>
      <x:c r="H6" s="118" t="str">
        <x:f>IF(G6=1,"완료",IF(G6&gt;0,"진행 중","예정"))</x:f>
        <x:v>완료</x:v>
      </x:c>
      <x:c r="I6" s="120" t="str"/>
      <x:c r="J6" s="120" t="str"/>
      <x:c r="K6" s="120" t="str"/>
      <x:c r="L6" s="120" t="str"/>
      <x:c r="M6" s="120" t="str"/>
      <x:c r="N6" s="120" t="str"/>
      <x:c r="O6" s="120" t="str"/>
      <x:c r="P6" s="120" t="str"/>
      <x:c r="Q6" s="120" t="str"/>
      <x:c r="R6" s="120" t="str"/>
      <x:c r="S6" s="120" t="str"/>
      <x:c r="T6" s="120" t="str"/>
      <x:c r="U6" s="120" t="str"/>
      <x:c r="V6" s="120" t="str"/>
      <x:c r="W6" s="120" t="str"/>
      <x:c r="X6" s="120" t="str"/>
      <x:c r="Y6" s="120" t="str"/>
      <x:c r="Z6" s="119" t="str"/>
      <x:c r="AA6" s="119" t="str"/>
      <x:c r="AB6" s="120" t="str"/>
      <x:c r="AC6" s="120" t="str"/>
    </x:row>
    <x:row r="7" ht="28" customHeight="1">
      <x:c r="A7" s="129" t="str">
        <x:v>개발</x:v>
      </x:c>
      <x:c r="B7" s="130" t="str">
        <x:v>관리자</x:v>
      </x:c>
      <x:c r="C7" s="137" t="str">
        <x:v>상품 등록·수정·판매 상태 관리</x:v>
      </x:c>
      <x:c r="D7" s="134" t="str"/>
      <x:c r="E7" s="140" t="n">
        <x:v>46238</x:v>
      </x:c>
      <x:c r="F7" s="140" t="n">
        <x:v>46240</x:v>
      </x:c>
      <x:c r="G7" s="143" t="n">
        <x:v>0.9</x:v>
      </x:c>
      <x:c r="H7" s="151" t="str">
        <x:f>IF(G7=1,"완료",IF(G7&gt;0,"진행 중","예정"))</x:f>
        <x:v>진행 중</x:v>
      </x:c>
      <x:c r="I7" s="120" t="str"/>
      <x:c r="J7" s="120" t="str"/>
      <x:c r="K7" s="120" t="str"/>
      <x:c r="L7" s="120" t="str"/>
      <x:c r="M7" s="120" t="str"/>
      <x:c r="N7" s="120" t="str"/>
      <x:c r="O7" s="120" t="str"/>
      <x:c r="P7" s="120" t="str"/>
      <x:c r="Q7" s="120" t="str"/>
      <x:c r="R7" s="120" t="str"/>
      <x:c r="S7" s="120" t="str"/>
      <x:c r="T7" s="120" t="str"/>
      <x:c r="U7" s="120" t="str"/>
      <x:c r="V7" s="120" t="str"/>
      <x:c r="W7" s="120" t="str"/>
      <x:c r="X7" s="120" t="str"/>
      <x:c r="Y7" s="120" t="str"/>
      <x:c r="Z7" s="152" t="str"/>
      <x:c r="AA7" s="152" t="str"/>
      <x:c r="AB7" s="152" t="str"/>
      <x:c r="AC7" s="120" t="str"/>
    </x:row>
    <x:row r="8" ht="28" customHeight="1">
      <x:c r="A8" s="129" t="str">
        <x:v>개발</x:v>
      </x:c>
      <x:c r="B8" s="130" t="str">
        <x:v>관리자</x:v>
      </x:c>
      <x:c r="C8" s="137" t="str">
        <x:v>회원 조회·상태 관리</x:v>
      </x:c>
      <x:c r="D8" s="134" t="str"/>
      <x:c r="E8" s="140" t="n">
        <x:v>46239</x:v>
      </x:c>
      <x:c r="F8" s="140" t="n">
        <x:v>46240</x:v>
      </x:c>
      <x:c r="G8" s="143" t="n">
        <x:v>0.85</x:v>
      </x:c>
      <x:c r="H8" s="151" t="str">
        <x:f>IF(G8=1,"완료",IF(G8&gt;0,"진행 중","예정"))</x:f>
        <x:v>진행 중</x:v>
      </x:c>
      <x:c r="I8" s="120" t="str"/>
      <x:c r="J8" s="120" t="str"/>
      <x:c r="K8" s="120" t="str"/>
      <x:c r="L8" s="120" t="str"/>
      <x:c r="M8" s="120" t="str"/>
      <x:c r="N8" s="120" t="str"/>
      <x:c r="O8" s="120" t="str"/>
      <x:c r="P8" s="120" t="str"/>
      <x:c r="Q8" s="120" t="str"/>
      <x:c r="R8" s="120" t="str"/>
      <x:c r="S8" s="120" t="str"/>
      <x:c r="T8" s="120" t="str"/>
      <x:c r="U8" s="120" t="str"/>
      <x:c r="V8" s="120" t="str"/>
      <x:c r="W8" s="120" t="str"/>
      <x:c r="X8" s="120" t="str"/>
      <x:c r="Y8" s="120" t="str"/>
      <x:c r="Z8" s="120" t="str"/>
      <x:c r="AA8" s="152" t="str"/>
      <x:c r="AB8" s="152" t="str"/>
      <x:c r="AC8" s="120" t="str"/>
    </x:row>
    <x:row r="9" ht="28" customHeight="1">
      <x:c r="A9" s="129" t="str">
        <x:v>개발</x:v>
      </x:c>
      <x:c r="B9" s="130" t="str">
        <x:v>관리자</x:v>
      </x:c>
      <x:c r="C9" s="137" t="str">
        <x:v>주문 조회·상태 관리</x:v>
      </x:c>
      <x:c r="D9" s="134" t="str"/>
      <x:c r="E9" s="140" t="n">
        <x:v>46239</x:v>
      </x:c>
      <x:c r="F9" s="140" t="n">
        <x:v>46241</x:v>
      </x:c>
      <x:c r="G9" s="143" t="n">
        <x:v>0.85</x:v>
      </x:c>
      <x:c r="H9" s="151" t="str">
        <x:f>IF(G9=1,"완료",IF(G9&gt;0,"진행 중","예정"))</x:f>
        <x:v>진행 중</x:v>
      </x:c>
      <x:c r="I9" s="120" t="str"/>
      <x:c r="J9" s="120" t="str"/>
      <x:c r="K9" s="120" t="str"/>
      <x:c r="L9" s="120" t="str"/>
      <x:c r="M9" s="120" t="str"/>
      <x:c r="N9" s="120" t="str"/>
      <x:c r="O9" s="120" t="str"/>
      <x:c r="P9" s="120" t="str"/>
      <x:c r="Q9" s="120" t="str"/>
      <x:c r="R9" s="120" t="str"/>
      <x:c r="S9" s="120" t="str"/>
      <x:c r="T9" s="120" t="str"/>
      <x:c r="U9" s="120" t="str"/>
      <x:c r="V9" s="120" t="str"/>
      <x:c r="W9" s="120" t="str"/>
      <x:c r="X9" s="120" t="str"/>
      <x:c r="Y9" s="120" t="str"/>
      <x:c r="Z9" s="120" t="str"/>
      <x:c r="AA9" s="152" t="str"/>
      <x:c r="AB9" s="152" t="str"/>
      <x:c r="AC9" s="152" t="str"/>
    </x:row>
    <x:row r="10" ht="28" customHeight="1">
      <x:c r="A10" s="129" t="str">
        <x:v>테스트</x:v>
      </x:c>
      <x:c r="B10" s="130" t="str">
        <x:v>통합</x:v>
      </x:c>
      <x:c r="C10" s="137" t="str">
        <x:v>회원·상품·견적·AI·결제 주요 흐름 점검</x:v>
      </x:c>
      <x:c r="D10" s="134" t="str"/>
      <x:c r="E10" s="140" t="n">
        <x:v>46239</x:v>
      </x:c>
      <x:c r="F10" s="140" t="n">
        <x:v>46241</x:v>
      </x:c>
      <x:c r="G10" s="143" t="n">
        <x:v>0.75</x:v>
      </x:c>
      <x:c r="H10" s="151" t="str">
        <x:f>IF(G10=1,"완료",IF(G10&gt;0,"진행 중","예정"))</x:f>
        <x:v>진행 중</x:v>
      </x:c>
      <x:c r="I10" s="120" t="str"/>
      <x:c r="J10" s="120" t="str"/>
      <x:c r="K10" s="120" t="str"/>
      <x:c r="L10" s="120" t="str"/>
      <x:c r="M10" s="120" t="str"/>
      <x:c r="N10" s="120" t="str"/>
      <x:c r="O10" s="120" t="str"/>
      <x:c r="P10" s="120" t="str"/>
      <x:c r="Q10" s="120" t="str"/>
      <x:c r="R10" s="120" t="str"/>
      <x:c r="S10" s="120" t="str"/>
      <x:c r="T10" s="120" t="str"/>
      <x:c r="U10" s="120" t="str"/>
      <x:c r="V10" s="120" t="str"/>
      <x:c r="W10" s="120" t="str"/>
      <x:c r="X10" s="120" t="str"/>
      <x:c r="Y10" s="120" t="str"/>
      <x:c r="Z10" s="120" t="str"/>
      <x:c r="AA10" s="152" t="str"/>
      <x:c r="AB10" s="152" t="str"/>
      <x:c r="AC10" s="152" t="str"/>
    </x:row>
    <x:row r="11" ht="28" customHeight="1">
      <x:c r="A11" s="129" t="str">
        <x:v>테스트</x:v>
      </x:c>
      <x:c r="B11" s="130" t="str">
        <x:v>예외</x:v>
      </x:c>
      <x:c r="C11" s="137" t="str">
        <x:v>인증·데이터 없음·결제 실패 예외 점검</x:v>
      </x:c>
      <x:c r="D11" s="134" t="str"/>
      <x:c r="E11" s="140" t="n">
        <x:v>46240</x:v>
      </x:c>
      <x:c r="F11" s="140" t="n">
        <x:v>46241</x:v>
      </x:c>
      <x:c r="G11" s="143" t="n">
        <x:v>0.7</x:v>
      </x:c>
      <x:c r="H11" s="151" t="str">
        <x:f>IF(G11=1,"완료",IF(G11&gt;0,"진행 중","예정"))</x:f>
        <x:v>진행 중</x:v>
      </x:c>
      <x:c r="I11" s="120" t="str"/>
      <x:c r="J11" s="120" t="str"/>
      <x:c r="K11" s="120" t="str"/>
      <x:c r="L11" s="120" t="str"/>
      <x:c r="M11" s="120" t="str"/>
      <x:c r="N11" s="120" t="str"/>
      <x:c r="O11" s="120" t="str"/>
      <x:c r="P11" s="120" t="str"/>
      <x:c r="Q11" s="120" t="str"/>
      <x:c r="R11" s="120" t="str"/>
      <x:c r="S11" s="120" t="str"/>
      <x:c r="T11" s="120" t="str"/>
      <x:c r="U11" s="120" t="str"/>
      <x:c r="V11" s="120" t="str"/>
      <x:c r="W11" s="120" t="str"/>
      <x:c r="X11" s="120" t="str"/>
      <x:c r="Y11" s="120" t="str"/>
      <x:c r="Z11" s="120" t="str"/>
      <x:c r="AA11" s="120" t="str"/>
      <x:c r="AB11" s="152" t="str"/>
      <x:c r="AC11" s="152" t="str"/>
    </x:row>
    <x:row r="12" ht="28" customHeight="1">
      <x:c r="A12" s="129" t="str">
        <x:v>문서화</x:v>
      </x:c>
      <x:c r="B12" s="130" t="str">
        <x:v>산출물</x:v>
      </x:c>
      <x:c r="C12" s="137" t="str">
        <x:v>기획안·WBS·프로젝트 수행 내용 정리</x:v>
      </x:c>
      <x:c r="D12" s="134" t="str"/>
      <x:c r="E12" s="140" t="n">
        <x:v>46240</x:v>
      </x:c>
      <x:c r="F12" s="140" t="n">
        <x:v>46241</x:v>
      </x:c>
      <x:c r="G12" s="143" t="n">
        <x:v>0.6</x:v>
      </x:c>
      <x:c r="H12" s="151" t="str">
        <x:f>IF(G12=1,"완료",IF(G12&gt;0,"진행 중","예정"))</x:f>
        <x:v>진행 중</x:v>
      </x:c>
      <x:c r="I12" s="120" t="str"/>
      <x:c r="J12" s="120" t="str"/>
      <x:c r="K12" s="120" t="str"/>
      <x:c r="L12" s="120" t="str"/>
      <x:c r="M12" s="120" t="str"/>
      <x:c r="N12" s="120" t="str"/>
      <x:c r="O12" s="120" t="str"/>
      <x:c r="P12" s="120" t="str"/>
      <x:c r="Q12" s="120" t="str"/>
      <x:c r="R12" s="120" t="str"/>
      <x:c r="S12" s="120" t="str"/>
      <x:c r="T12" s="120" t="str"/>
      <x:c r="U12" s="120" t="str"/>
      <x:c r="V12" s="120" t="str"/>
      <x:c r="W12" s="120" t="str"/>
      <x:c r="X12" s="120" t="str"/>
      <x:c r="Y12" s="120" t="str"/>
      <x:c r="Z12" s="120" t="str"/>
      <x:c r="AA12" s="120" t="str"/>
      <x:c r="AB12" s="152" t="str"/>
      <x:c r="AC12" s="152" t="str"/>
    </x:row>
    <x:row r="13" ht="28" customHeight="1">
      <x:c r="A13" s="129" t="str">
        <x:v>개발</x:v>
      </x:c>
      <x:c r="B13" s="130" t="str">
        <x:v>Admin Controller</x:v>
      </x:c>
      <x:c r="C13" s="137" t="str">
        <x:v>상품·회원·주문 관리 화면 요청 처리</x:v>
      </x:c>
      <x:c r="D13" s="134" t="str"/>
      <x:c r="E13" s="140" t="n">
        <x:v>46238</x:v>
      </x:c>
      <x:c r="F13" s="140" t="n">
        <x:v>46240</x:v>
      </x:c>
      <x:c r="G13" s="143" t="n">
        <x:v>0.85</x:v>
      </x:c>
      <x:c r="H13" s="151" t="str">
        <x:f>IF(G13=1,"완료",IF(G13&gt;0,"진행 중","예정"))</x:f>
        <x:v>진행 중</x:v>
      </x:c>
      <x:c r="I13" s="120" t="str"/>
      <x:c r="J13" s="120" t="str"/>
      <x:c r="K13" s="120" t="str"/>
      <x:c r="L13" s="120" t="str"/>
      <x:c r="M13" s="120" t="str"/>
      <x:c r="N13" s="120" t="str"/>
      <x:c r="O13" s="120" t="str"/>
      <x:c r="P13" s="120" t="str"/>
      <x:c r="Q13" s="120" t="str"/>
      <x:c r="R13" s="120" t="str"/>
      <x:c r="S13" s="120" t="str"/>
      <x:c r="T13" s="120" t="str"/>
      <x:c r="U13" s="120" t="str"/>
      <x:c r="V13" s="120" t="str"/>
      <x:c r="W13" s="120" t="str"/>
      <x:c r="X13" s="120" t="str"/>
      <x:c r="Y13" s="120" t="str"/>
      <x:c r="Z13" s="152" t="str"/>
      <x:c r="AA13" s="152" t="str"/>
      <x:c r="AB13" s="152" t="str"/>
      <x:c r="AC13" s="120" t="str"/>
    </x:row>
    <x:row r="14" ht="28" customHeight="1">
      <x:c r="A14" s="129" t="str">
        <x:v>개발</x:v>
      </x:c>
      <x:c r="B14" s="130" t="str">
        <x:v>상품 관리</x:v>
      </x:c>
      <x:c r="C14" s="137" t="str">
        <x:v>상품 정보·가격·판매 상태 수정</x:v>
      </x:c>
      <x:c r="D14" s="134" t="str"/>
      <x:c r="E14" s="140" t="n">
        <x:v>46238</x:v>
      </x:c>
      <x:c r="F14" s="140" t="n">
        <x:v>46240</x:v>
      </x:c>
      <x:c r="G14" s="143" t="n">
        <x:v>0.9</x:v>
      </x:c>
      <x:c r="H14" s="151" t="str">
        <x:f>IF(G14=1,"완료",IF(G14&gt;0,"진행 중","예정"))</x:f>
        <x:v>진행 중</x:v>
      </x:c>
      <x:c r="I14" s="120" t="str"/>
      <x:c r="J14" s="120" t="str"/>
      <x:c r="K14" s="120" t="str"/>
      <x:c r="L14" s="120" t="str"/>
      <x:c r="M14" s="120" t="str"/>
      <x:c r="N14" s="120" t="str"/>
      <x:c r="O14" s="120" t="str"/>
      <x:c r="P14" s="120" t="str"/>
      <x:c r="Q14" s="120" t="str"/>
      <x:c r="R14" s="120" t="str"/>
      <x:c r="S14" s="120" t="str"/>
      <x:c r="T14" s="120" t="str"/>
      <x:c r="U14" s="120" t="str"/>
      <x:c r="V14" s="120" t="str"/>
      <x:c r="W14" s="120" t="str"/>
      <x:c r="X14" s="120" t="str"/>
      <x:c r="Y14" s="120" t="str"/>
      <x:c r="Z14" s="152" t="str"/>
      <x:c r="AA14" s="152" t="str"/>
      <x:c r="AB14" s="152" t="str"/>
      <x:c r="AC14" s="120" t="str"/>
    </x:row>
    <x:row r="15" ht="28" customHeight="1">
      <x:c r="A15" s="129" t="str">
        <x:v>개발</x:v>
      </x:c>
      <x:c r="B15" s="130" t="str">
        <x:v>주문 관리</x:v>
      </x:c>
      <x:c r="C15" s="137" t="str">
        <x:v>주문 목록·상세·상태 변경</x:v>
      </x:c>
      <x:c r="D15" s="134" t="str"/>
      <x:c r="E15" s="140" t="n">
        <x:v>46239</x:v>
      </x:c>
      <x:c r="F15" s="140" t="n">
        <x:v>46241</x:v>
      </x:c>
      <x:c r="G15" s="143" t="n">
        <x:v>0.85</x:v>
      </x:c>
      <x:c r="H15" s="151" t="str">
        <x:f>IF(G15=1,"완료",IF(G15&gt;0,"진행 중","예정"))</x:f>
        <x:v>진행 중</x:v>
      </x:c>
      <x:c r="I15" s="120" t="str"/>
      <x:c r="J15" s="120" t="str"/>
      <x:c r="K15" s="120" t="str"/>
      <x:c r="L15" s="120" t="str"/>
      <x:c r="M15" s="120" t="str"/>
      <x:c r="N15" s="120" t="str"/>
      <x:c r="O15" s="120" t="str"/>
      <x:c r="P15" s="120" t="str"/>
      <x:c r="Q15" s="120" t="str"/>
      <x:c r="R15" s="120" t="str"/>
      <x:c r="S15" s="120" t="str"/>
      <x:c r="T15" s="120" t="str"/>
      <x:c r="U15" s="120" t="str"/>
      <x:c r="V15" s="120" t="str"/>
      <x:c r="W15" s="120" t="str"/>
      <x:c r="X15" s="120" t="str"/>
      <x:c r="Y15" s="120" t="str"/>
      <x:c r="Z15" s="120" t="str"/>
      <x:c r="AA15" s="152" t="str"/>
      <x:c r="AB15" s="152" t="str"/>
      <x:c r="AC15" s="152" t="str"/>
    </x:row>
    <x:row r="16" ht="28" customHeight="1">
      <x:c r="A16" s="129" t="str">
        <x:v>테스트</x:v>
      </x:c>
      <x:c r="B16" s="130" t="str">
        <x:v>회원 흐름</x:v>
      </x:c>
      <x:c r="C16" s="137" t="str">
        <x:v>가입→로그인→마이페이지 시나리오</x:v>
      </x:c>
      <x:c r="D16" s="134" t="str"/>
      <x:c r="E16" s="140" t="n">
        <x:v>46239</x:v>
      </x:c>
      <x:c r="F16" s="140" t="n">
        <x:v>46240</x:v>
      </x:c>
      <x:c r="G16" s="143" t="n">
        <x:v>0.8</x:v>
      </x:c>
      <x:c r="H16" s="151" t="str">
        <x:f>IF(G16=1,"완료",IF(G16&gt;0,"진행 중","예정"))</x:f>
        <x:v>진행 중</x:v>
      </x:c>
      <x:c r="I16" s="120" t="str"/>
      <x:c r="J16" s="120" t="str"/>
      <x:c r="K16" s="120" t="str"/>
      <x:c r="L16" s="120" t="str"/>
      <x:c r="M16" s="120" t="str"/>
      <x:c r="N16" s="120" t="str"/>
      <x:c r="O16" s="120" t="str"/>
      <x:c r="P16" s="120" t="str"/>
      <x:c r="Q16" s="120" t="str"/>
      <x:c r="R16" s="120" t="str"/>
      <x:c r="S16" s="120" t="str"/>
      <x:c r="T16" s="120" t="str"/>
      <x:c r="U16" s="120" t="str"/>
      <x:c r="V16" s="120" t="str"/>
      <x:c r="W16" s="120" t="str"/>
      <x:c r="X16" s="120" t="str"/>
      <x:c r="Y16" s="120" t="str"/>
      <x:c r="Z16" s="120" t="str"/>
      <x:c r="AA16" s="152" t="str"/>
      <x:c r="AB16" s="152" t="str"/>
      <x:c r="AC16" s="120" t="str"/>
    </x:row>
    <x:row r="17" ht="28" customHeight="1">
      <x:c r="A17" s="129" t="str">
        <x:v>테스트</x:v>
      </x:c>
      <x:c r="B17" s="130" t="str">
        <x:v>견적 흐름</x:v>
      </x:c>
      <x:c r="C17" s="137" t="str">
        <x:v>상품 선택→호환성→저장→장바구니 시나리오</x:v>
      </x:c>
      <x:c r="D17" s="134" t="str"/>
      <x:c r="E17" s="140" t="n">
        <x:v>46239</x:v>
      </x:c>
      <x:c r="F17" s="140" t="n">
        <x:v>46241</x:v>
      </x:c>
      <x:c r="G17" s="143" t="n">
        <x:v>0.75</x:v>
      </x:c>
      <x:c r="H17" s="151" t="str">
        <x:f>IF(G17=1,"완료",IF(G17&gt;0,"진행 중","예정"))</x:f>
        <x:v>진행 중</x:v>
      </x:c>
      <x:c r="I17" s="120" t="str"/>
      <x:c r="J17" s="120" t="str"/>
      <x:c r="K17" s="120" t="str"/>
      <x:c r="L17" s="120" t="str"/>
      <x:c r="M17" s="120" t="str"/>
      <x:c r="N17" s="120" t="str"/>
      <x:c r="O17" s="120" t="str"/>
      <x:c r="P17" s="120" t="str"/>
      <x:c r="Q17" s="120" t="str"/>
      <x:c r="R17" s="120" t="str"/>
      <x:c r="S17" s="120" t="str"/>
      <x:c r="T17" s="120" t="str"/>
      <x:c r="U17" s="120" t="str"/>
      <x:c r="V17" s="120" t="str"/>
      <x:c r="W17" s="120" t="str"/>
      <x:c r="X17" s="120" t="str"/>
      <x:c r="Y17" s="120" t="str"/>
      <x:c r="Z17" s="120" t="str"/>
      <x:c r="AA17" s="152" t="str"/>
      <x:c r="AB17" s="152" t="str"/>
      <x:c r="AC17" s="152" t="str"/>
    </x:row>
    <x:row r="18" ht="28" customHeight="1">
      <x:c r="A18" s="129" t="str">
        <x:v>테스트</x:v>
      </x:c>
      <x:c r="B18" s="130" t="str">
        <x:v>AI 흐름</x:v>
      </x:c>
      <x:c r="C18" s="137" t="str">
        <x:v>조건 입력→추천 생성→수정→장바구니 시나리오</x:v>
      </x:c>
      <x:c r="D18" s="134" t="str"/>
      <x:c r="E18" s="140" t="n">
        <x:v>46240</x:v>
      </x:c>
      <x:c r="F18" s="140" t="n">
        <x:v>46241</x:v>
      </x:c>
      <x:c r="G18" s="143" t="n">
        <x:v>0.7</x:v>
      </x:c>
      <x:c r="H18" s="151" t="str">
        <x:f>IF(G18=1,"완료",IF(G18&gt;0,"진행 중","예정"))</x:f>
        <x:v>진행 중</x:v>
      </x:c>
      <x:c r="I18" s="120" t="str"/>
      <x:c r="J18" s="120" t="str"/>
      <x:c r="K18" s="120" t="str"/>
      <x:c r="L18" s="120" t="str"/>
      <x:c r="M18" s="120" t="str"/>
      <x:c r="N18" s="120" t="str"/>
      <x:c r="O18" s="120" t="str"/>
      <x:c r="P18" s="120" t="str"/>
      <x:c r="Q18" s="120" t="str"/>
      <x:c r="R18" s="120" t="str"/>
      <x:c r="S18" s="120" t="str"/>
      <x:c r="T18" s="120" t="str"/>
      <x:c r="U18" s="120" t="str"/>
      <x:c r="V18" s="120" t="str"/>
      <x:c r="W18" s="120" t="str"/>
      <x:c r="X18" s="120" t="str"/>
      <x:c r="Y18" s="120" t="str"/>
      <x:c r="Z18" s="120" t="str"/>
      <x:c r="AA18" s="120" t="str"/>
      <x:c r="AB18" s="152" t="str"/>
      <x:c r="AC18" s="152" t="str"/>
    </x:row>
    <x:row r="19" ht="28" customHeight="1">
      <x:c r="A19" s="131" t="str">
        <x:v>테스트</x:v>
      </x:c>
      <x:c r="B19" s="132" t="str">
        <x:v>결제 흐름</x:v>
      </x:c>
      <x:c r="C19" s="138" t="str">
        <x:v>주문 생성→결제 승인→주문 내역 시나리오</x:v>
      </x:c>
      <x:c r="D19" s="135" t="str"/>
      <x:c r="E19" s="141" t="n">
        <x:v>46240</x:v>
      </x:c>
      <x:c r="F19" s="141" t="n">
        <x:v>46241</x:v>
      </x:c>
      <x:c r="G19" s="144" t="n">
        <x:v>0.7</x:v>
      </x:c>
      <x:c r="H19" s="153" t="str">
        <x:f>IF(G19=1,"완료",IF(G19&gt;0,"진행 중","예정"))</x:f>
        <x:v>진행 중</x:v>
      </x:c>
      <x:c r="I19" s="120" t="str"/>
      <x:c r="J19" s="120" t="str"/>
      <x:c r="K19" s="120" t="str"/>
      <x:c r="L19" s="120" t="str"/>
      <x:c r="M19" s="120" t="str"/>
      <x:c r="N19" s="120" t="str"/>
      <x:c r="O19" s="120" t="str"/>
      <x:c r="P19" s="120" t="str"/>
      <x:c r="Q19" s="120" t="str"/>
      <x:c r="R19" s="120" t="str"/>
      <x:c r="S19" s="120" t="str"/>
      <x:c r="T19" s="120" t="str"/>
      <x:c r="U19" s="120" t="str"/>
      <x:c r="V19" s="120" t="str"/>
      <x:c r="W19" s="120" t="str"/>
      <x:c r="X19" s="120" t="str"/>
      <x:c r="Y19" s="120" t="str"/>
      <x:c r="Z19" s="120" t="str"/>
      <x:c r="AA19" s="120" t="str"/>
      <x:c r="AB19" s="152" t="str"/>
      <x:c r="AC19" s="152" t="str"/>
    </x:row>
  </x:sheetData>
  <x:mergeCells>
    <x:mergeCell ref="A1:AC1"/>
    <x:mergeCell ref="A2:AC2"/>
    <x:mergeCell ref="A4:H4"/>
    <x:mergeCell ref="I4:M4"/>
    <x:mergeCell ref="N4:R4"/>
    <x:mergeCell ref="S4:W4"/>
    <x:mergeCell ref="X4:AC4"/>
  </x:mergeCells>
  <x:dataValidations count="1">
    <x:dataValidation type="list" sqref="D6:D19">
      <x:formula1>"공동,팀장,팀원"</x:formula1>
    </x:dataValidation>
  </x:dataValidations>
  <x:pageMargins left="0.7" right="0.7" top="0.75" bottom="0.75" header="0.3" footer="0.3"/>
</x:worksheet>
</file>